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2026FRCCode-1279\"/>
    </mc:Choice>
  </mc:AlternateContent>
  <xr:revisionPtr revIDLastSave="0" documentId="13_ncr:1_{AFA01611-67FF-41E1-B570-45B949334F2D}" xr6:coauthVersionLast="47" xr6:coauthVersionMax="47" xr10:uidLastSave="{00000000-0000-0000-0000-000000000000}"/>
  <bookViews>
    <workbookView xWindow="36" yWindow="84" windowWidth="20328" windowHeight="11724" xr2:uid="{00000000-000D-0000-FFFF-FFFF00000000}"/>
  </bookViews>
  <sheets>
    <sheet name="ShootStop" sheetId="2" r:id="rId1"/>
    <sheet name="LeftShootPickup" sheetId="3" r:id="rId2"/>
    <sheet name="RightShootPickupClimb" sheetId="20" r:id="rId3"/>
    <sheet name="ShootMoveHPShoot" sheetId="18" r:id="rId4"/>
    <sheet name="ShootHPShoot" sheetId="19" r:id="rId5"/>
    <sheet name="DriveStop" sheetId="17" r:id="rId6"/>
    <sheet name="DoNothing" sheetId="11" r:id="rId7"/>
    <sheet name="Calculations" sheetId="7" r:id="rId8"/>
  </sheets>
  <functionGroups builtInGroupCount="19"/>
  <calcPr calcId="18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0" i="20" l="1"/>
  <c r="B49" i="20"/>
  <c r="A50" i="20" s="1"/>
  <c r="B48" i="20"/>
  <c r="A49" i="20" s="1"/>
  <c r="B47" i="20"/>
  <c r="A48" i="20" s="1"/>
  <c r="B46" i="20"/>
  <c r="A47" i="20" s="1"/>
  <c r="B45" i="20"/>
  <c r="A46" i="20" s="1"/>
  <c r="B44" i="20"/>
  <c r="A45" i="20" s="1"/>
  <c r="B43" i="20"/>
  <c r="A44" i="20" s="1"/>
  <c r="B42" i="20"/>
  <c r="A43" i="20" s="1"/>
  <c r="B41" i="20"/>
  <c r="A42" i="20" s="1"/>
  <c r="B40" i="20"/>
  <c r="A41" i="20" s="1"/>
  <c r="B39" i="20"/>
  <c r="A40" i="20" s="1"/>
  <c r="B38" i="20"/>
  <c r="A39" i="20" s="1"/>
  <c r="B37" i="20"/>
  <c r="A38" i="20" s="1"/>
  <c r="B36" i="20"/>
  <c r="A37" i="20" s="1"/>
  <c r="B35" i="20"/>
  <c r="A36" i="20" s="1"/>
  <c r="B34" i="20"/>
  <c r="A35" i="20" s="1"/>
  <c r="B33" i="20"/>
  <c r="A34" i="20" s="1"/>
  <c r="B32" i="20"/>
  <c r="A33" i="20" s="1"/>
  <c r="B31" i="20"/>
  <c r="A32" i="20" s="1"/>
  <c r="B30" i="20"/>
  <c r="A31" i="20" s="1"/>
  <c r="B29" i="20"/>
  <c r="A30" i="20" s="1"/>
  <c r="B28" i="20"/>
  <c r="A29" i="20" s="1"/>
  <c r="B27" i="20"/>
  <c r="A28" i="20" s="1"/>
  <c r="B26" i="20"/>
  <c r="A27" i="20" s="1"/>
  <c r="B25" i="20"/>
  <c r="A26" i="20" s="1"/>
  <c r="B24" i="20"/>
  <c r="A25" i="20" s="1"/>
  <c r="B23" i="20"/>
  <c r="A24" i="20" s="1"/>
  <c r="B22" i="20"/>
  <c r="A23" i="20" s="1"/>
  <c r="B21" i="20"/>
  <c r="A22" i="20" s="1"/>
  <c r="B20" i="20"/>
  <c r="A21" i="20" s="1"/>
  <c r="B19" i="20"/>
  <c r="A20" i="20" s="1"/>
  <c r="B18" i="20"/>
  <c r="A19" i="20" s="1"/>
  <c r="B2" i="20"/>
  <c r="A3" i="20" s="1"/>
  <c r="B3" i="20" s="1"/>
  <c r="A4" i="20" s="1"/>
  <c r="B4" i="20" s="1"/>
  <c r="A5" i="20" s="1"/>
  <c r="B5" i="20" s="1"/>
  <c r="A6" i="20" s="1"/>
  <c r="B6" i="20" s="1"/>
  <c r="A7" i="20" s="1"/>
  <c r="B7" i="20" s="1"/>
  <c r="A8" i="20" s="1"/>
  <c r="B8" i="20" s="1"/>
  <c r="A9" i="20" s="1"/>
  <c r="B9" i="20" s="1"/>
  <c r="A10" i="20" s="1"/>
  <c r="B10" i="20" s="1"/>
  <c r="A11" i="20" s="1"/>
  <c r="B11" i="20" s="1"/>
  <c r="A12" i="20" s="1"/>
  <c r="B12" i="20" s="1"/>
  <c r="A13" i="20" s="1"/>
  <c r="B13" i="20" s="1"/>
  <c r="A14" i="20" s="1"/>
  <c r="B14" i="20" s="1"/>
  <c r="A15" i="20" s="1"/>
  <c r="B15" i="20" s="1"/>
  <c r="A16" i="20" s="1"/>
  <c r="B16" i="20" s="1"/>
  <c r="A17" i="20" s="1"/>
  <c r="B17" i="20" s="1"/>
  <c r="A18" i="20" s="1"/>
  <c r="B50" i="19"/>
  <c r="B49" i="19"/>
  <c r="A50" i="19" s="1"/>
  <c r="B48" i="19"/>
  <c r="A49" i="19" s="1"/>
  <c r="B47" i="19"/>
  <c r="A48" i="19" s="1"/>
  <c r="B46" i="19"/>
  <c r="A47" i="19" s="1"/>
  <c r="B45" i="19"/>
  <c r="A46" i="19" s="1"/>
  <c r="B44" i="19"/>
  <c r="A45" i="19" s="1"/>
  <c r="B43" i="19"/>
  <c r="A44" i="19" s="1"/>
  <c r="B42" i="19"/>
  <c r="A43" i="19" s="1"/>
  <c r="B41" i="19"/>
  <c r="A42" i="19" s="1"/>
  <c r="B40" i="19"/>
  <c r="A41" i="19" s="1"/>
  <c r="B39" i="19"/>
  <c r="A40" i="19" s="1"/>
  <c r="B38" i="19"/>
  <c r="A39" i="19" s="1"/>
  <c r="B37" i="19"/>
  <c r="A38" i="19" s="1"/>
  <c r="B36" i="19"/>
  <c r="A37" i="19" s="1"/>
  <c r="B35" i="19"/>
  <c r="A36" i="19" s="1"/>
  <c r="B34" i="19"/>
  <c r="A35" i="19" s="1"/>
  <c r="B33" i="19"/>
  <c r="A34" i="19" s="1"/>
  <c r="B32" i="19"/>
  <c r="A33" i="19" s="1"/>
  <c r="B31" i="19"/>
  <c r="A32" i="19" s="1"/>
  <c r="A31" i="19"/>
  <c r="B30" i="19"/>
  <c r="B29" i="19"/>
  <c r="A30" i="19" s="1"/>
  <c r="B28" i="19"/>
  <c r="A29" i="19" s="1"/>
  <c r="B27" i="19"/>
  <c r="A28" i="19" s="1"/>
  <c r="A27" i="19"/>
  <c r="B26" i="19"/>
  <c r="B25" i="19"/>
  <c r="A26" i="19" s="1"/>
  <c r="B24" i="19"/>
  <c r="A25" i="19" s="1"/>
  <c r="B23" i="19"/>
  <c r="A24" i="19" s="1"/>
  <c r="A23" i="19"/>
  <c r="B22" i="19"/>
  <c r="B21" i="19"/>
  <c r="A22" i="19" s="1"/>
  <c r="B20" i="19"/>
  <c r="A21" i="19" s="1"/>
  <c r="B19" i="19"/>
  <c r="A20" i="19" s="1"/>
  <c r="A19" i="19"/>
  <c r="B18" i="19"/>
  <c r="B17" i="19"/>
  <c r="A18" i="19" s="1"/>
  <c r="B16" i="19"/>
  <c r="A17" i="19" s="1"/>
  <c r="B15" i="19"/>
  <c r="A16" i="19" s="1"/>
  <c r="A15" i="19"/>
  <c r="B14" i="19"/>
  <c r="B13" i="19"/>
  <c r="A14" i="19" s="1"/>
  <c r="B12" i="19"/>
  <c r="A13" i="19" s="1"/>
  <c r="B2" i="19"/>
  <c r="A3" i="19" s="1"/>
  <c r="B3" i="19" s="1"/>
  <c r="A4" i="19" s="1"/>
  <c r="B4" i="19" s="1"/>
  <c r="A5" i="19" s="1"/>
  <c r="B5" i="19" s="1"/>
  <c r="A6" i="19" s="1"/>
  <c r="B6" i="19" s="1"/>
  <c r="A7" i="19" s="1"/>
  <c r="B7" i="19" s="1"/>
  <c r="A8" i="19" s="1"/>
  <c r="B8" i="19" s="1"/>
  <c r="A9" i="19" s="1"/>
  <c r="B9" i="19" s="1"/>
  <c r="A10" i="19" s="1"/>
  <c r="B10" i="19" s="1"/>
  <c r="A11" i="19" s="1"/>
  <c r="B11" i="19" s="1"/>
  <c r="A12" i="19" s="1"/>
  <c r="B50" i="18"/>
  <c r="B49" i="18"/>
  <c r="A50" i="18" s="1"/>
  <c r="B48" i="18"/>
  <c r="A49" i="18" s="1"/>
  <c r="B47" i="18"/>
  <c r="A48" i="18" s="1"/>
  <c r="B46" i="18"/>
  <c r="A47" i="18" s="1"/>
  <c r="B45" i="18"/>
  <c r="A46" i="18" s="1"/>
  <c r="B44" i="18"/>
  <c r="A45" i="18" s="1"/>
  <c r="B43" i="18"/>
  <c r="A44" i="18" s="1"/>
  <c r="B42" i="18"/>
  <c r="A43" i="18" s="1"/>
  <c r="B41" i="18"/>
  <c r="A42" i="18" s="1"/>
  <c r="B40" i="18"/>
  <c r="A41" i="18" s="1"/>
  <c r="B39" i="18"/>
  <c r="A40" i="18" s="1"/>
  <c r="B38" i="18"/>
  <c r="A39" i="18" s="1"/>
  <c r="B37" i="18"/>
  <c r="A38" i="18" s="1"/>
  <c r="B36" i="18"/>
  <c r="A37" i="18" s="1"/>
  <c r="B35" i="18"/>
  <c r="A36" i="18" s="1"/>
  <c r="B34" i="18"/>
  <c r="A35" i="18" s="1"/>
  <c r="B33" i="18"/>
  <c r="A34" i="18" s="1"/>
  <c r="B32" i="18"/>
  <c r="A33" i="18" s="1"/>
  <c r="B31" i="18"/>
  <c r="A32" i="18" s="1"/>
  <c r="B30" i="18"/>
  <c r="A31" i="18" s="1"/>
  <c r="B29" i="18"/>
  <c r="A30" i="18" s="1"/>
  <c r="B28" i="18"/>
  <c r="A29" i="18" s="1"/>
  <c r="B27" i="18"/>
  <c r="A28" i="18" s="1"/>
  <c r="B26" i="18"/>
  <c r="A27" i="18" s="1"/>
  <c r="B25" i="18"/>
  <c r="A26" i="18" s="1"/>
  <c r="B24" i="18"/>
  <c r="A25" i="18" s="1"/>
  <c r="B23" i="18"/>
  <c r="A24" i="18" s="1"/>
  <c r="B22" i="18"/>
  <c r="A23" i="18" s="1"/>
  <c r="B21" i="18"/>
  <c r="A22" i="18" s="1"/>
  <c r="B20" i="18"/>
  <c r="A21" i="18" s="1"/>
  <c r="B19" i="18"/>
  <c r="A20" i="18" s="1"/>
  <c r="B18" i="18"/>
  <c r="A19" i="18" s="1"/>
  <c r="B17" i="18"/>
  <c r="A18" i="18" s="1"/>
  <c r="B16" i="18"/>
  <c r="A17" i="18" s="1"/>
  <c r="B15" i="18"/>
  <c r="A16" i="18" s="1"/>
  <c r="B14" i="18"/>
  <c r="A15" i="18" s="1"/>
  <c r="B13" i="18"/>
  <c r="A14" i="18" s="1"/>
  <c r="B12" i="18"/>
  <c r="A13" i="18" s="1"/>
  <c r="B2" i="18"/>
  <c r="A3" i="18" s="1"/>
  <c r="B3" i="18" s="1"/>
  <c r="A4" i="18" s="1"/>
  <c r="B4" i="18" s="1"/>
  <c r="A5" i="18" s="1"/>
  <c r="B5" i="18" s="1"/>
  <c r="A6" i="18" s="1"/>
  <c r="B6" i="18" s="1"/>
  <c r="A7" i="18" s="1"/>
  <c r="B7" i="18" s="1"/>
  <c r="A8" i="18" s="1"/>
  <c r="B8" i="18" s="1"/>
  <c r="A9" i="18" s="1"/>
  <c r="B9" i="18" s="1"/>
  <c r="A10" i="18" s="1"/>
  <c r="B10" i="18" s="1"/>
  <c r="A11" i="18" s="1"/>
  <c r="B11" i="18" s="1"/>
  <c r="A12" i="18" s="1"/>
  <c r="B2" i="3"/>
  <c r="B50" i="17"/>
  <c r="B49" i="17"/>
  <c r="A50" i="17" s="1"/>
  <c r="B48" i="17"/>
  <c r="A49" i="17" s="1"/>
  <c r="B47" i="17"/>
  <c r="A48" i="17" s="1"/>
  <c r="B46" i="17"/>
  <c r="A47" i="17" s="1"/>
  <c r="B45" i="17"/>
  <c r="A46" i="17" s="1"/>
  <c r="B44" i="17"/>
  <c r="A45" i="17" s="1"/>
  <c r="B43" i="17"/>
  <c r="A44" i="17" s="1"/>
  <c r="B42" i="17"/>
  <c r="A43" i="17" s="1"/>
  <c r="B41" i="17"/>
  <c r="A42" i="17" s="1"/>
  <c r="B40" i="17"/>
  <c r="A41" i="17" s="1"/>
  <c r="B39" i="17"/>
  <c r="A40" i="17" s="1"/>
  <c r="B38" i="17"/>
  <c r="A39" i="17" s="1"/>
  <c r="B37" i="17"/>
  <c r="A38" i="17" s="1"/>
  <c r="B36" i="17"/>
  <c r="A37" i="17" s="1"/>
  <c r="B35" i="17"/>
  <c r="A36" i="17" s="1"/>
  <c r="B34" i="17"/>
  <c r="A35" i="17" s="1"/>
  <c r="B33" i="17"/>
  <c r="A34" i="17" s="1"/>
  <c r="B32" i="17"/>
  <c r="A33" i="17" s="1"/>
  <c r="B31" i="17"/>
  <c r="A32" i="17" s="1"/>
  <c r="B30" i="17"/>
  <c r="A31" i="17" s="1"/>
  <c r="B29" i="17"/>
  <c r="A30" i="17" s="1"/>
  <c r="B28" i="17"/>
  <c r="A29" i="17" s="1"/>
  <c r="B27" i="17"/>
  <c r="A28" i="17" s="1"/>
  <c r="B26" i="17"/>
  <c r="A27" i="17" s="1"/>
  <c r="B25" i="17"/>
  <c r="A26" i="17" s="1"/>
  <c r="B24" i="17"/>
  <c r="A25" i="17" s="1"/>
  <c r="B23" i="17"/>
  <c r="A24" i="17" s="1"/>
  <c r="B22" i="17"/>
  <c r="A23" i="17" s="1"/>
  <c r="B21" i="17"/>
  <c r="A22" i="17" s="1"/>
  <c r="B20" i="17"/>
  <c r="A21" i="17" s="1"/>
  <c r="B19" i="17"/>
  <c r="A20" i="17" s="1"/>
  <c r="B18" i="17"/>
  <c r="A19" i="17" s="1"/>
  <c r="B17" i="17"/>
  <c r="A18" i="17" s="1"/>
  <c r="B16" i="17"/>
  <c r="A17" i="17" s="1"/>
  <c r="B15" i="17"/>
  <c r="A16" i="17" s="1"/>
  <c r="B14" i="17"/>
  <c r="A15" i="17" s="1"/>
  <c r="B13" i="17"/>
  <c r="A14" i="17" s="1"/>
  <c r="B12" i="17"/>
  <c r="A13" i="17" s="1"/>
  <c r="B11" i="17"/>
  <c r="A12" i="17" s="1"/>
  <c r="B10" i="17"/>
  <c r="A11" i="17" s="1"/>
  <c r="B8" i="17"/>
  <c r="A9" i="17" s="1"/>
  <c r="B2" i="17"/>
  <c r="A3" i="17" s="1"/>
  <c r="B3" i="17" s="1"/>
  <c r="A4" i="17" s="1"/>
  <c r="B4" i="17" s="1"/>
  <c r="A5" i="17" s="1"/>
  <c r="B5" i="17" s="1"/>
  <c r="A6" i="17" s="1"/>
  <c r="B6" i="17" s="1"/>
  <c r="A7" i="17" s="1"/>
  <c r="B7" i="17" s="1"/>
  <c r="A8" i="17" s="1"/>
  <c r="B2" i="11"/>
  <c r="A3" i="11" s="1"/>
  <c r="B3" i="11" s="1"/>
  <c r="A4" i="11" s="1"/>
  <c r="B4" i="11" s="1"/>
  <c r="A5" i="11" s="1"/>
  <c r="B5" i="11" s="1"/>
  <c r="A6" i="11" s="1"/>
  <c r="B6" i="11" s="1"/>
  <c r="A7" i="11" s="1"/>
  <c r="B50" i="11"/>
  <c r="B49" i="11"/>
  <c r="A50" i="11" s="1"/>
  <c r="B48" i="11"/>
  <c r="A49" i="11" s="1"/>
  <c r="B47" i="11"/>
  <c r="A48" i="11" s="1"/>
  <c r="B46" i="11"/>
  <c r="A47" i="11" s="1"/>
  <c r="B45" i="11"/>
  <c r="A46" i="11" s="1"/>
  <c r="B44" i="11"/>
  <c r="A45" i="11" s="1"/>
  <c r="B43" i="11"/>
  <c r="A44" i="11" s="1"/>
  <c r="B42" i="11"/>
  <c r="A43" i="11" s="1"/>
  <c r="B41" i="11"/>
  <c r="A42" i="11" s="1"/>
  <c r="B40" i="11"/>
  <c r="A41" i="11" s="1"/>
  <c r="B39" i="11"/>
  <c r="A40" i="11" s="1"/>
  <c r="B38" i="11"/>
  <c r="A39" i="11" s="1"/>
  <c r="B37" i="11"/>
  <c r="A38" i="11" s="1"/>
  <c r="B36" i="11"/>
  <c r="A37" i="11" s="1"/>
  <c r="B35" i="11"/>
  <c r="A36" i="11" s="1"/>
  <c r="B34" i="11"/>
  <c r="A35" i="11" s="1"/>
  <c r="B33" i="11"/>
  <c r="A34" i="11" s="1"/>
  <c r="B32" i="11"/>
  <c r="A33" i="11" s="1"/>
  <c r="B31" i="11"/>
  <c r="A32" i="11" s="1"/>
  <c r="B30" i="11"/>
  <c r="A31" i="11" s="1"/>
  <c r="B29" i="11"/>
  <c r="A30" i="11" s="1"/>
  <c r="B28" i="11"/>
  <c r="A29" i="11" s="1"/>
  <c r="B27" i="11"/>
  <c r="A28" i="11" s="1"/>
  <c r="B26" i="11"/>
  <c r="A27" i="11" s="1"/>
  <c r="B25" i="11"/>
  <c r="A26" i="11" s="1"/>
  <c r="B24" i="11"/>
  <c r="A25" i="11" s="1"/>
  <c r="B23" i="11"/>
  <c r="A24" i="11" s="1"/>
  <c r="B22" i="11"/>
  <c r="A23" i="11" s="1"/>
  <c r="B21" i="11"/>
  <c r="A22" i="11" s="1"/>
  <c r="B20" i="11"/>
  <c r="A21" i="11" s="1"/>
  <c r="B19" i="11"/>
  <c r="A20" i="11" s="1"/>
  <c r="B18" i="11"/>
  <c r="A19" i="11" s="1"/>
  <c r="B17" i="11"/>
  <c r="A18" i="11" s="1"/>
  <c r="B16" i="11"/>
  <c r="A17" i="11" s="1"/>
  <c r="B15" i="11"/>
  <c r="A16" i="11" s="1"/>
  <c r="B14" i="11"/>
  <c r="A15" i="11" s="1"/>
  <c r="B13" i="11"/>
  <c r="A14" i="11" s="1"/>
  <c r="B12" i="11"/>
  <c r="A13" i="11" s="1"/>
  <c r="A12" i="11"/>
  <c r="B11" i="11"/>
  <c r="B10" i="11"/>
  <c r="A11" i="11" s="1"/>
  <c r="A10" i="11"/>
  <c r="B9" i="11"/>
  <c r="B8" i="11"/>
  <c r="A9" i="11" s="1"/>
  <c r="B7" i="11"/>
  <c r="A8" i="11" s="1"/>
  <c r="J3" i="19" a="1"/>
  <c r="J3" i="17"/>
  <c r="J3" i="18" a="1"/>
  <c r="J3" i="20" a="1"/>
  <c r="J3" i="11" a="1"/>
  <c r="J3" i="20" l="1"/>
  <c r="J3" i="19"/>
  <c r="J3" i="18"/>
  <c r="J3" i="11"/>
  <c r="B2" i="2"/>
  <c r="A3" i="3" l="1"/>
  <c r="B3" i="3" s="1"/>
  <c r="I14" i="7"/>
  <c r="D14" i="7"/>
  <c r="N18" i="7"/>
  <c r="N17" i="7" s="1"/>
  <c r="N16" i="7"/>
  <c r="N15" i="7"/>
  <c r="D19" i="7"/>
  <c r="I19" i="7"/>
  <c r="N6" i="7" l="1"/>
  <c r="I6" i="7"/>
  <c r="D6" i="7"/>
  <c r="B50" i="3" l="1"/>
  <c r="B49" i="3"/>
  <c r="A50" i="3" s="1"/>
  <c r="B48" i="3"/>
  <c r="A49" i="3" s="1"/>
  <c r="B47" i="3"/>
  <c r="A48" i="3" s="1"/>
  <c r="B46" i="3"/>
  <c r="A47" i="3" s="1"/>
  <c r="B45" i="3"/>
  <c r="A46" i="3" s="1"/>
  <c r="B44" i="3"/>
  <c r="A45" i="3" s="1"/>
  <c r="B43" i="3"/>
  <c r="A44" i="3" s="1"/>
  <c r="B42" i="3"/>
  <c r="A43" i="3" s="1"/>
  <c r="B41" i="3"/>
  <c r="A42" i="3" s="1"/>
  <c r="B40" i="3"/>
  <c r="A41" i="3" s="1"/>
  <c r="B39" i="3"/>
  <c r="A40" i="3" s="1"/>
  <c r="B38" i="3"/>
  <c r="A39" i="3" s="1"/>
  <c r="B37" i="3"/>
  <c r="A38" i="3" s="1"/>
  <c r="B36" i="3"/>
  <c r="A37" i="3" s="1"/>
  <c r="B35" i="3"/>
  <c r="A36" i="3" s="1"/>
  <c r="B34" i="3"/>
  <c r="A35" i="3" s="1"/>
  <c r="B33" i="3"/>
  <c r="A34" i="3" s="1"/>
  <c r="B32" i="3"/>
  <c r="A33" i="3" s="1"/>
  <c r="B31" i="3"/>
  <c r="A32" i="3" s="1"/>
  <c r="B30" i="3"/>
  <c r="A31" i="3" s="1"/>
  <c r="B29" i="3"/>
  <c r="A30" i="3" s="1"/>
  <c r="B28" i="3"/>
  <c r="A29" i="3" s="1"/>
  <c r="B27" i="3"/>
  <c r="A28" i="3" s="1"/>
  <c r="B26" i="3"/>
  <c r="A27" i="3" s="1"/>
  <c r="B25" i="3"/>
  <c r="A26" i="3" s="1"/>
  <c r="B50" i="2"/>
  <c r="B49" i="2"/>
  <c r="A50" i="2" s="1"/>
  <c r="B48" i="2"/>
  <c r="A49" i="2" s="1"/>
  <c r="B47" i="2"/>
  <c r="A48" i="2" s="1"/>
  <c r="B46" i="2"/>
  <c r="A47" i="2" s="1"/>
  <c r="B45" i="2"/>
  <c r="A46" i="2" s="1"/>
  <c r="B44" i="2"/>
  <c r="A45" i="2" s="1"/>
  <c r="B43" i="2"/>
  <c r="A44" i="2" s="1"/>
  <c r="B42" i="2"/>
  <c r="A43" i="2" s="1"/>
  <c r="B41" i="2"/>
  <c r="A42" i="2" s="1"/>
  <c r="B40" i="2"/>
  <c r="A41" i="2" s="1"/>
  <c r="B39" i="2"/>
  <c r="A40" i="2" s="1"/>
  <c r="B38" i="2"/>
  <c r="A39" i="2" s="1"/>
  <c r="B37" i="2"/>
  <c r="A38" i="2" s="1"/>
  <c r="B36" i="2"/>
  <c r="A37" i="2" s="1"/>
  <c r="B35" i="2"/>
  <c r="A36" i="2" s="1"/>
  <c r="B34" i="2"/>
  <c r="A35" i="2" s="1"/>
  <c r="B33" i="2"/>
  <c r="A34" i="2" s="1"/>
  <c r="B32" i="2"/>
  <c r="A33" i="2" s="1"/>
  <c r="B31" i="2"/>
  <c r="A32" i="2" s="1"/>
  <c r="B30" i="2"/>
  <c r="A31" i="2" s="1"/>
  <c r="B29" i="2"/>
  <c r="A30" i="2" s="1"/>
  <c r="B28" i="2"/>
  <c r="A29" i="2" s="1"/>
  <c r="B27" i="2"/>
  <c r="A28" i="2" s="1"/>
  <c r="B26" i="2"/>
  <c r="A27" i="2" s="1"/>
  <c r="B25" i="2"/>
  <c r="A26" i="2" s="1"/>
  <c r="B24" i="2"/>
  <c r="A25" i="2" s="1"/>
  <c r="B23" i="2"/>
  <c r="A24" i="2" s="1"/>
  <c r="B22" i="2"/>
  <c r="A23" i="2" s="1"/>
  <c r="B21" i="2"/>
  <c r="A22" i="2" s="1"/>
  <c r="B20" i="2"/>
  <c r="A21" i="2" s="1"/>
  <c r="B19" i="2"/>
  <c r="A20" i="2" s="1"/>
  <c r="B18" i="2"/>
  <c r="A19" i="2" s="1"/>
  <c r="B17" i="2"/>
  <c r="A18" i="2" s="1"/>
  <c r="B16" i="2"/>
  <c r="A17" i="2" s="1"/>
  <c r="B15" i="2"/>
  <c r="A16" i="2" s="1"/>
  <c r="B14" i="2"/>
  <c r="A15" i="2" s="1"/>
  <c r="A3" i="2"/>
  <c r="B3" i="2" s="1"/>
  <c r="A4" i="2" s="1"/>
  <c r="B4" i="2" s="1"/>
  <c r="A5" i="2" s="1"/>
  <c r="B5" i="2" s="1"/>
  <c r="A6" i="2" s="1"/>
  <c r="B6" i="2" s="1"/>
  <c r="A4" i="3" l="1"/>
  <c r="B4" i="3" s="1"/>
  <c r="A5" i="3" l="1"/>
  <c r="B5" i="3" s="1"/>
  <c r="A7" i="2" l="1"/>
  <c r="B7" i="2" s="1"/>
  <c r="A6" i="3"/>
  <c r="B6" i="3" s="1"/>
  <c r="A8" i="2" l="1"/>
  <c r="B8" i="2" s="1"/>
  <c r="A9" i="2" s="1"/>
  <c r="A7" i="3"/>
  <c r="B7" i="3" s="1"/>
  <c r="A8" i="3" s="1"/>
  <c r="B8" i="3" s="1"/>
  <c r="B9" i="2" l="1"/>
  <c r="B9" i="17"/>
  <c r="A10" i="17" s="1"/>
  <c r="A9" i="3"/>
  <c r="B9" i="3" s="1"/>
  <c r="J3" i="2" a="1"/>
  <c r="J3" i="2" l="1"/>
  <c r="A10" i="2"/>
  <c r="B10" i="2" s="1"/>
  <c r="A11" i="2" s="1"/>
  <c r="B11" i="2" s="1"/>
  <c r="A12" i="2" s="1"/>
  <c r="B12" i="2" s="1"/>
  <c r="A13" i="2" s="1"/>
  <c r="B13" i="2" s="1"/>
  <c r="A14" i="2" s="1"/>
  <c r="A10" i="3"/>
  <c r="B10" i="3" s="1"/>
  <c r="A11" i="3" l="1"/>
  <c r="B11" i="3" s="1"/>
  <c r="A12" i="3" l="1"/>
  <c r="B12" i="3" s="1"/>
  <c r="A13" i="3" l="1"/>
  <c r="B13" i="3" l="1"/>
  <c r="A14" i="3" s="1"/>
  <c r="B14" i="3" l="1"/>
  <c r="A15" i="3" s="1"/>
  <c r="B15" i="3" s="1"/>
  <c r="J3" i="3" a="1"/>
  <c r="J3" i="3" l="1"/>
  <c r="A16" i="3"/>
  <c r="B16" i="3" s="1"/>
  <c r="A17" i="3" s="1"/>
  <c r="B17" i="3" s="1"/>
  <c r="A18" i="3" s="1"/>
  <c r="B18" i="3" s="1"/>
  <c r="A19" i="3" s="1"/>
  <c r="B19" i="3" s="1"/>
  <c r="A20" i="3" s="1"/>
  <c r="B20" i="3" s="1"/>
  <c r="A21" i="3" s="1"/>
  <c r="B21" i="3" s="1"/>
  <c r="A22" i="3" s="1"/>
  <c r="B22" i="3" s="1"/>
  <c r="A23" i="3" s="1"/>
  <c r="B23" i="3" s="1"/>
  <c r="A24" i="3" s="1"/>
  <c r="B24" i="3" s="1"/>
  <c r="A25" i="3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<sst xmlns="http://schemas.openxmlformats.org/spreadsheetml/2006/main" count="322" uniqueCount="70">
  <si>
    <t>D</t>
  </si>
  <si>
    <t>Stop driving</t>
  </si>
  <si>
    <t>start</t>
  </si>
  <si>
    <t>end</t>
  </si>
  <si>
    <t>duration</t>
  </si>
  <si>
    <t>x</t>
  </si>
  <si>
    <t>y</t>
  </si>
  <si>
    <t>rotation</t>
  </si>
  <si>
    <t>actions</t>
  </si>
  <si>
    <t>comment</t>
  </si>
  <si>
    <t>JSON STRING:</t>
  </si>
  <si>
    <t>Notes:</t>
  </si>
  <si>
    <t>To include more rows in the route plan, click and drag the small arrow at the bottom right corner down to add them to the table</t>
  </si>
  <si>
    <t>X Speed:</t>
  </si>
  <si>
    <t>Angle of Travel:</t>
  </si>
  <si>
    <t>Y Speed:</t>
  </si>
  <si>
    <t>Max Speed (m/s):</t>
  </si>
  <si>
    <t>Speed:</t>
  </si>
  <si>
    <t>Distance (m):</t>
  </si>
  <si>
    <t>Time to Travel (s):</t>
  </si>
  <si>
    <t>X Distance (m):</t>
  </si>
  <si>
    <t>Y Distance (m):</t>
  </si>
  <si>
    <t>Linear Distance (m):</t>
  </si>
  <si>
    <t>Actions:</t>
  </si>
  <si>
    <t>S = SHOOT</t>
  </si>
  <si>
    <t>Meters:</t>
  </si>
  <si>
    <t>Feet:</t>
  </si>
  <si>
    <r>
      <rPr>
        <b/>
        <sz val="11"/>
        <color theme="1"/>
        <rFont val="Aptos Narrow"/>
        <scheme val="minor"/>
      </rPr>
      <t>Forward =</t>
    </r>
    <r>
      <rPr>
        <sz val="11"/>
        <color theme="1"/>
        <rFont val="Aptos Narrow"/>
        <family val="2"/>
        <scheme val="minor"/>
      </rPr>
      <t xml:space="preserve"> +y</t>
    </r>
  </si>
  <si>
    <r>
      <rPr>
        <b/>
        <sz val="11"/>
        <color theme="1"/>
        <rFont val="Aptos Narrow"/>
        <scheme val="minor"/>
      </rPr>
      <t>Backward =</t>
    </r>
    <r>
      <rPr>
        <sz val="11"/>
        <color theme="1"/>
        <rFont val="Aptos Narrow"/>
        <family val="2"/>
        <scheme val="minor"/>
      </rPr>
      <t xml:space="preserve"> -y</t>
    </r>
  </si>
  <si>
    <r>
      <rPr>
        <b/>
        <sz val="11"/>
        <color theme="1"/>
        <rFont val="Aptos Narrow"/>
        <scheme val="minor"/>
      </rPr>
      <t>Left =</t>
    </r>
    <r>
      <rPr>
        <sz val="11"/>
        <color theme="1"/>
        <rFont val="Aptos Narrow"/>
        <family val="2"/>
        <scheme val="minor"/>
      </rPr>
      <t xml:space="preserve"> +x</t>
    </r>
  </si>
  <si>
    <r>
      <rPr>
        <b/>
        <sz val="11"/>
        <color theme="1"/>
        <rFont val="Aptos Narrow"/>
        <scheme val="minor"/>
      </rPr>
      <t>Right =</t>
    </r>
    <r>
      <rPr>
        <sz val="11"/>
        <color theme="1"/>
        <rFont val="Aptos Narrow"/>
        <family val="2"/>
        <scheme val="minor"/>
      </rPr>
      <t xml:space="preserve"> -x</t>
    </r>
  </si>
  <si>
    <r>
      <rPr>
        <b/>
        <sz val="11"/>
        <color theme="1"/>
        <rFont val="Aptos Narrow"/>
        <scheme val="minor"/>
      </rPr>
      <t>Counter Clockwise =</t>
    </r>
    <r>
      <rPr>
        <sz val="11"/>
        <color theme="1"/>
        <rFont val="Aptos Narrow"/>
        <family val="2"/>
        <scheme val="minor"/>
      </rPr>
      <t xml:space="preserve"> +z/rotation</t>
    </r>
  </si>
  <si>
    <r>
      <rPr>
        <b/>
        <sz val="11"/>
        <color theme="1"/>
        <rFont val="Aptos Narrow"/>
        <scheme val="minor"/>
      </rPr>
      <t>Clockwise =</t>
    </r>
    <r>
      <rPr>
        <sz val="11"/>
        <color theme="1"/>
        <rFont val="Aptos Narrow"/>
        <family val="2"/>
        <scheme val="minor"/>
      </rPr>
      <t xml:space="preserve"> -z/rotation</t>
    </r>
  </si>
  <si>
    <t>Drive forward</t>
  </si>
  <si>
    <t>EU</t>
  </si>
  <si>
    <t>WL = WRIST DOWN</t>
  </si>
  <si>
    <t>WU = WRIST UP</t>
  </si>
  <si>
    <t>F = INTAKE/FEED</t>
  </si>
  <si>
    <t>A = AUTO ALIGN</t>
  </si>
  <si>
    <t>EU = ELEVATOR UP</t>
  </si>
  <si>
    <t>EL = ELEVATOR DOWN</t>
  </si>
  <si>
    <t>HU = HOOD UP</t>
  </si>
  <si>
    <t>HL = HOOD DOWN</t>
  </si>
  <si>
    <t>Stop All</t>
  </si>
  <si>
    <t>S</t>
  </si>
  <si>
    <t>Shoot</t>
  </si>
  <si>
    <t>Rotate toward ramp</t>
  </si>
  <si>
    <t>Drive over ramp</t>
  </si>
  <si>
    <t>Drive &amp; Intake</t>
  </si>
  <si>
    <t>Drive backwards &amp; stop Intake</t>
  </si>
  <si>
    <t>Rotate toward target</t>
  </si>
  <si>
    <t>Stop</t>
  </si>
  <si>
    <t>DF</t>
  </si>
  <si>
    <t>Straighten robot</t>
  </si>
  <si>
    <t>Drive to Depot</t>
  </si>
  <si>
    <t>Drive backwards</t>
  </si>
  <si>
    <t>Drive right</t>
  </si>
  <si>
    <t>Drive back to HP</t>
  </si>
  <si>
    <t>Receive balls</t>
  </si>
  <si>
    <t>Drive &amp; Lower Wrist</t>
  </si>
  <si>
    <t>DWL</t>
  </si>
  <si>
    <t>Drive left</t>
  </si>
  <si>
    <t>Stop everything</t>
  </si>
  <si>
    <t>Drive to Ladder</t>
  </si>
  <si>
    <t>Raise elevator</t>
  </si>
  <si>
    <t>Lower elevator</t>
  </si>
  <si>
    <t>EL</t>
  </si>
  <si>
    <t>Drive away from line</t>
  </si>
  <si>
    <t>Lower Intake while driving</t>
  </si>
  <si>
    <t>Pause at 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</si>
</sst>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b/>
      <sz val="11"/>
      <color theme="1"/>
      <name val="Aptos Narrow"/>
      <scheme val="minor"/>
    </font>
    <font>
      <sz val="11"/>
      <color theme="1"/>
      <name val="Aptos Narrow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3C78D8"/>
        <bgColor indexed="64"/>
      </patternFill>
    </fill>
    <fill>
      <patternFill patternType="solid">
        <fgColor rgb="FFFFE599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2" fontId="0" fillId="0" borderId="0" xfId="0" applyNumberFormat="1"/>
    <xf numFmtId="2" fontId="0" fillId="0" borderId="0" xfId="0" applyNumberFormat="1" applyAlignment="1">
      <alignment horizontal="center"/>
    </xf>
    <xf numFmtId="2" fontId="1" fillId="0" borderId="0" xfId="0" applyNumberFormat="1" applyFont="1" applyAlignment="1">
      <alignment horizontal="center"/>
    </xf>
    <xf numFmtId="0" fontId="3" fillId="0" borderId="0" xfId="0" applyFont="1" applyAlignment="1">
      <alignment vertical="top" wrapText="1"/>
    </xf>
    <xf numFmtId="2" fontId="2" fillId="0" borderId="0" xfId="0" applyNumberFormat="1" applyFont="1" applyAlignment="1">
      <alignment horizontal="center"/>
    </xf>
    <xf numFmtId="0" fontId="2" fillId="0" borderId="0" xfId="0" applyFont="1"/>
    <xf numFmtId="2" fontId="2" fillId="0" borderId="0" xfId="0" applyNumberFormat="1" applyFont="1"/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4" fillId="2" borderId="0" xfId="0" applyFont="1" applyFill="1" applyAlignment="1">
      <alignment wrapText="1"/>
    </xf>
    <xf numFmtId="0" fontId="4" fillId="0" borderId="1" xfId="0" applyFont="1" applyBorder="1" applyAlignment="1">
      <alignment wrapText="1"/>
    </xf>
    <xf numFmtId="0" fontId="5" fillId="0" borderId="2" xfId="0" applyFont="1" applyBorder="1" applyAlignment="1">
      <alignment wrapText="1"/>
    </xf>
    <xf numFmtId="0" fontId="5" fillId="3" borderId="3" xfId="0" applyFont="1" applyFill="1" applyBorder="1" applyAlignment="1">
      <alignment horizontal="center" wrapText="1"/>
    </xf>
    <xf numFmtId="0" fontId="4" fillId="0" borderId="4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4" fillId="0" borderId="6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8" xfId="0" applyFont="1" applyBorder="1" applyAlignment="1">
      <alignment wrapText="1"/>
    </xf>
    <xf numFmtId="0" fontId="4" fillId="0" borderId="9" xfId="0" applyFont="1" applyBorder="1" applyAlignment="1">
      <alignment wrapText="1"/>
    </xf>
    <xf numFmtId="0" fontId="4" fillId="0" borderId="0" xfId="0" applyFont="1" applyAlignment="1">
      <alignment wrapText="1"/>
    </xf>
    <xf numFmtId="0" fontId="4" fillId="0" borderId="10" xfId="0" applyFont="1" applyBorder="1" applyAlignment="1">
      <alignment wrapText="1"/>
    </xf>
    <xf numFmtId="0" fontId="4" fillId="0" borderId="11" xfId="0" applyFont="1" applyBorder="1" applyAlignment="1">
      <alignment wrapText="1"/>
    </xf>
    <xf numFmtId="0" fontId="4" fillId="0" borderId="12" xfId="0" applyFont="1" applyBorder="1" applyAlignment="1">
      <alignment wrapText="1"/>
    </xf>
    <xf numFmtId="0" fontId="6" fillId="0" borderId="3" xfId="0" applyFont="1" applyBorder="1" applyAlignment="1" applyProtection="1">
      <alignment horizontal="center" wrapText="1"/>
      <protection locked="0"/>
    </xf>
    <xf numFmtId="164" fontId="5" fillId="3" borderId="3" xfId="0" applyNumberFormat="1" applyFont="1" applyFill="1" applyBorder="1" applyAlignment="1">
      <alignment horizontal="center" wrapText="1"/>
    </xf>
    <xf numFmtId="2" fontId="5" fillId="3" borderId="3" xfId="0" applyNumberFormat="1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4" fillId="4" borderId="4" xfId="0" applyFont="1" applyFill="1" applyBorder="1" applyAlignment="1">
      <alignment wrapText="1"/>
    </xf>
    <xf numFmtId="0" fontId="4" fillId="4" borderId="5" xfId="0" applyFont="1" applyFill="1" applyBorder="1" applyAlignment="1">
      <alignment wrapText="1"/>
    </xf>
    <xf numFmtId="0" fontId="4" fillId="4" borderId="7" xfId="0" applyFont="1" applyFill="1" applyBorder="1" applyAlignment="1">
      <alignment wrapText="1"/>
    </xf>
    <xf numFmtId="0" fontId="4" fillId="4" borderId="10" xfId="0" applyFont="1" applyFill="1" applyBorder="1" applyAlignment="1">
      <alignment wrapText="1"/>
    </xf>
    <xf numFmtId="0" fontId="4" fillId="4" borderId="11" xfId="0" applyFont="1" applyFill="1" applyBorder="1" applyAlignment="1">
      <alignment wrapText="1"/>
    </xf>
    <xf numFmtId="0" fontId="4" fillId="4" borderId="12" xfId="0" applyFont="1" applyFill="1" applyBorder="1" applyAlignment="1">
      <alignment wrapText="1"/>
    </xf>
    <xf numFmtId="0" fontId="5" fillId="0" borderId="0" xfId="0" applyFont="1" applyAlignment="1">
      <alignment wrapText="1"/>
    </xf>
    <xf numFmtId="0" fontId="6" fillId="0" borderId="13" xfId="0" applyFont="1" applyBorder="1" applyAlignment="1" applyProtection="1">
      <alignment horizontal="center" wrapText="1"/>
      <protection locked="0"/>
    </xf>
    <xf numFmtId="0" fontId="8" fillId="0" borderId="0" xfId="0" applyFont="1"/>
    <xf numFmtId="0" fontId="0" fillId="0" borderId="0" xfId="0" applyAlignment="1">
      <alignment vertical="top" wrapText="1"/>
    </xf>
  </cellXfs>
  <cellStyles count="1">
    <cellStyle name="Normal" xfId="0" builtinId="0"/>
  </cellStyles>
  <dxfs count="68">
    <dxf>
      <numFmt numFmtId="2" formatCode="0.0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font>
        <b/>
      </font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/>
    </dxf>
    <dxf>
      <numFmt numFmtId="2" formatCode="0.00"/>
      <alignment horizontal="center"/>
    </dxf>
    <dxf>
      <numFmt numFmtId="2" formatCode="0.00"/>
      <alignment horizontal="center"/>
    </dxf>
    <dxf>
      <font>
        <b/>
      </font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/>
    </dxf>
    <dxf>
      <numFmt numFmtId="2" formatCode="0.00"/>
      <alignment horizontal="center"/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font>
        <b/>
      </font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font>
        <b/>
      </font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font>
        <b/>
      </font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font>
        <b/>
      </font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font>
        <b/>
      </font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/>
    </dxf>
    <dxf>
      <numFmt numFmtId="2" formatCode="0.00"/>
      <alignment horizontal="center"/>
    </dxf>
    <dxf>
      <numFmt numFmtId="2" formatCode="0.00"/>
      <alignment horizontal="center" vertical="bottom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13" displayName="Table13" ref="A1:H6" totalsRowShown="0" headerRowDxfId="67">
  <autoFilter ref="A1:H6" xr:uid="{00000000-0009-0000-0100-000002000000}"/>
  <tableColumns count="8">
    <tableColumn id="1" xr3:uid="{00000000-0010-0000-0000-000001000000}" name="start" dataDxfId="66"/>
    <tableColumn id="2" xr3:uid="{00000000-0010-0000-0000-000002000000}" name="end" dataDxfId="65"/>
    <tableColumn id="8" xr3:uid="{00000000-0010-0000-0000-000008000000}" name="duration" dataDxfId="64"/>
    <tableColumn id="3" xr3:uid="{00000000-0010-0000-0000-000003000000}" name="x" dataDxfId="63"/>
    <tableColumn id="4" xr3:uid="{00000000-0010-0000-0000-000004000000}" name="y" dataDxfId="62"/>
    <tableColumn id="5" xr3:uid="{00000000-0010-0000-0000-000005000000}" name="rotation" dataDxfId="61"/>
    <tableColumn id="6" xr3:uid="{00000000-0010-0000-0000-000006000000}" name="actions" dataDxfId="60"/>
    <tableColumn id="7" xr3:uid="{00000000-0010-0000-0000-000007000000}" name="comment" dataDxfId="5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134" displayName="Table134" ref="A1:H12" totalsRowShown="0" headerRowDxfId="58" dataDxfId="57">
  <autoFilter ref="A1:H12" xr:uid="{00000000-0009-0000-0100-000003000000}"/>
  <tableColumns count="8">
    <tableColumn id="1" xr3:uid="{00000000-0010-0000-0100-000001000000}" name="start" dataDxfId="56"/>
    <tableColumn id="2" xr3:uid="{00000000-0010-0000-0100-000002000000}" name="end" dataDxfId="55">
      <calculatedColumnFormula>#REF!+#REF!</calculatedColumnFormula>
    </tableColumn>
    <tableColumn id="8" xr3:uid="{00000000-0010-0000-0100-000008000000}" name="duration" dataDxfId="54"/>
    <tableColumn id="3" xr3:uid="{00000000-0010-0000-0100-000003000000}" name="x" dataDxfId="53"/>
    <tableColumn id="4" xr3:uid="{00000000-0010-0000-0100-000004000000}" name="y" dataDxfId="52"/>
    <tableColumn id="5" xr3:uid="{00000000-0010-0000-0100-000005000000}" name="rotation" dataDxfId="51"/>
    <tableColumn id="6" xr3:uid="{00000000-0010-0000-0100-000006000000}" name="actions" dataDxfId="50"/>
    <tableColumn id="7" xr3:uid="{00000000-0010-0000-0100-000007000000}" name="comment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le1347" displayName="Table1347" ref="A1:H15" totalsRowShown="0" headerRowDxfId="48" dataDxfId="47">
  <autoFilter ref="A1:H15" xr:uid="{00000000-0009-0000-0100-000006000000}"/>
  <tableColumns count="8">
    <tableColumn id="1" xr3:uid="{00000000-0010-0000-0200-000001000000}" name="start" dataDxfId="46"/>
    <tableColumn id="2" xr3:uid="{00000000-0010-0000-0200-000002000000}" name="end" dataDxfId="45">
      <calculatedColumnFormula>Table1347[[#This Row],[start]]+Table1347[[#This Row],[duration]]</calculatedColumnFormula>
    </tableColumn>
    <tableColumn id="8" xr3:uid="{00000000-0010-0000-0200-000008000000}" name="duration" dataDxfId="44"/>
    <tableColumn id="3" xr3:uid="{00000000-0010-0000-0200-000003000000}" name="x" dataDxfId="43"/>
    <tableColumn id="4" xr3:uid="{00000000-0010-0000-0200-000004000000}" name="y" dataDxfId="42"/>
    <tableColumn id="5" xr3:uid="{00000000-0010-0000-0200-000005000000}" name="rotation" dataDxfId="41"/>
    <tableColumn id="6" xr3:uid="{00000000-0010-0000-0200-000006000000}" name="actions" dataDxfId="40"/>
    <tableColumn id="7" xr3:uid="{00000000-0010-0000-0200-000007000000}" name="comment" dataDxfId="3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1345" displayName="Table1345" ref="A1:H10" totalsRowShown="0" headerRowDxfId="38" dataDxfId="37">
  <autoFilter ref="A1:H10" xr:uid="{00000000-0009-0000-0100-000004000000}"/>
  <tableColumns count="8">
    <tableColumn id="1" xr3:uid="{00000000-0010-0000-0300-000001000000}" name="start" dataDxfId="36"/>
    <tableColumn id="2" xr3:uid="{00000000-0010-0000-0300-000002000000}" name="end" dataDxfId="35">
      <calculatedColumnFormula>Table1345[[#This Row],[start]]+Table1345[[#This Row],[duration]]</calculatedColumnFormula>
    </tableColumn>
    <tableColumn id="8" xr3:uid="{00000000-0010-0000-0300-000008000000}" name="duration" dataDxfId="34"/>
    <tableColumn id="3" xr3:uid="{00000000-0010-0000-0300-000003000000}" name="x" dataDxfId="33"/>
    <tableColumn id="4" xr3:uid="{00000000-0010-0000-0300-000004000000}" name="y" dataDxfId="32"/>
    <tableColumn id="5" xr3:uid="{00000000-0010-0000-0300-000005000000}" name="rotation" dataDxfId="31"/>
    <tableColumn id="6" xr3:uid="{00000000-0010-0000-0300-000006000000}" name="actions" dataDxfId="30"/>
    <tableColumn id="7" xr3:uid="{00000000-0010-0000-0300-000007000000}" name="comment" dataDxfId="2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13456" displayName="Table13456" ref="A1:H11" totalsRowShown="0" headerRowDxfId="28" dataDxfId="27">
  <autoFilter ref="A1:H11" xr:uid="{00000000-0009-0000-0100-000005000000}"/>
  <tableColumns count="8">
    <tableColumn id="1" xr3:uid="{00000000-0010-0000-0400-000001000000}" name="start" dataDxfId="26"/>
    <tableColumn id="2" xr3:uid="{00000000-0010-0000-0400-000002000000}" name="end" dataDxfId="25">
      <calculatedColumnFormula>Table13456[[#This Row],[start]]+Table13456[[#This Row],[duration]]</calculatedColumnFormula>
    </tableColumn>
    <tableColumn id="8" xr3:uid="{00000000-0010-0000-0400-000008000000}" name="duration" dataDxfId="24"/>
    <tableColumn id="3" xr3:uid="{00000000-0010-0000-0400-000003000000}" name="x" dataDxfId="23"/>
    <tableColumn id="4" xr3:uid="{00000000-0010-0000-0400-000004000000}" name="y" dataDxfId="22"/>
    <tableColumn id="5" xr3:uid="{00000000-0010-0000-0400-000005000000}" name="rotation" dataDxfId="21"/>
    <tableColumn id="6" xr3:uid="{00000000-0010-0000-0400-000006000000}" name="actions" dataDxfId="20"/>
    <tableColumn id="7" xr3:uid="{00000000-0010-0000-0400-000007000000}" name="comment" dataDxfId="1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Table171112" displayName="Table171112" ref="A1:H3" totalsRowShown="0" headerRowDxfId="18">
  <autoFilter ref="A1:H3" xr:uid="{00000000-0009-0000-0100-00000B000000}"/>
  <tableColumns count="8">
    <tableColumn id="1" xr3:uid="{00000000-0010-0000-0500-000001000000}" name="start" dataDxfId="17"/>
    <tableColumn id="2" xr3:uid="{00000000-0010-0000-0500-000002000000}" name="end" dataDxfId="16">
      <calculatedColumnFormula>Table171112[[#This Row],[start]]+Table171112[[#This Row],[duration]]</calculatedColumnFormula>
    </tableColumn>
    <tableColumn id="8" xr3:uid="{00000000-0010-0000-0500-000008000000}" name="duration" dataDxfId="15"/>
    <tableColumn id="3" xr3:uid="{00000000-0010-0000-0500-000003000000}" name="x" dataDxfId="14"/>
    <tableColumn id="4" xr3:uid="{00000000-0010-0000-0500-000004000000}" name="y" dataDxfId="13"/>
    <tableColumn id="5" xr3:uid="{00000000-0010-0000-0500-000005000000}" name="rotation" dataDxfId="12"/>
    <tableColumn id="6" xr3:uid="{00000000-0010-0000-0500-000006000000}" name="actions" dataDxfId="11"/>
    <tableColumn id="7" xr3:uid="{00000000-0010-0000-0500-000007000000}" name="comment" dataDxfId="1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Table1342" displayName="Table1342" ref="A1:H2" totalsRowShown="0" headerRowDxfId="9" dataDxfId="8">
  <autoFilter ref="A1:H2" xr:uid="{00000000-0009-0000-0100-000001000000}"/>
  <tableColumns count="8">
    <tableColumn id="1" xr3:uid="{00000000-0010-0000-0600-000001000000}" name="start" dataDxfId="7"/>
    <tableColumn id="2" xr3:uid="{00000000-0010-0000-0600-000002000000}" name="end" dataDxfId="6">
      <calculatedColumnFormula>Table1342[[#This Row],[start]]+Table1342[[#This Row],[duration]]</calculatedColumnFormula>
    </tableColumn>
    <tableColumn id="8" xr3:uid="{00000000-0010-0000-0600-000008000000}" name="duration" dataDxfId="5"/>
    <tableColumn id="3" xr3:uid="{00000000-0010-0000-0600-000003000000}" name="x" dataDxfId="4"/>
    <tableColumn id="4" xr3:uid="{00000000-0010-0000-0600-000004000000}" name="y" dataDxfId="3"/>
    <tableColumn id="5" xr3:uid="{00000000-0010-0000-0600-000005000000}" name="rotation" dataDxfId="2"/>
    <tableColumn id="6" xr3:uid="{00000000-0010-0000-0600-000006000000}" name="actions" dataDxfId="1"/>
    <tableColumn id="7" xr3:uid="{00000000-0010-0000-0600-000007000000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50"/>
  <sheetViews>
    <sheetView showGridLines="0" tabSelected="1" workbookViewId="0">
      <selection activeCell="J3" sqref="J3"/>
    </sheetView>
  </sheetViews>
  <sheetFormatPr defaultColWidth="8.88671875" defaultRowHeight="14.4" x14ac:dyDescent="0.3"/>
  <cols>
    <col min="1" max="1" width="11.109375" style="2" customWidth="1"/>
    <col min="2" max="2" width="8.6640625" style="2" customWidth="1"/>
    <col min="3" max="3" width="13.109375" style="2" customWidth="1"/>
    <col min="4" max="5" width="9.109375" style="2"/>
    <col min="6" max="6" width="11" style="2" bestFit="1" customWidth="1"/>
    <col min="7" max="7" width="9.6640625" style="27" customWidth="1"/>
    <col min="8" max="8" width="28.6640625" customWidth="1"/>
    <col min="10" max="10" width="80.6640625" customWidth="1"/>
  </cols>
  <sheetData>
    <row r="1" spans="1:10" x14ac:dyDescent="0.3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7" t="s">
        <v>8</v>
      </c>
      <c r="H1" s="1" t="s">
        <v>9</v>
      </c>
    </row>
    <row r="2" spans="1:10" x14ac:dyDescent="0.3">
      <c r="A2" s="3">
        <v>0.1</v>
      </c>
      <c r="B2" s="2">
        <f>Table13[[#This Row],[start]]+Table13[[#This Row],[duration]]</f>
        <v>1.1000000000000001</v>
      </c>
      <c r="C2" s="3">
        <v>1</v>
      </c>
      <c r="D2" s="2">
        <v>0</v>
      </c>
      <c r="E2" s="2">
        <v>0</v>
      </c>
      <c r="F2" s="2">
        <v>0</v>
      </c>
      <c r="G2" s="27" t="s">
        <v>0</v>
      </c>
      <c r="H2" s="1" t="s">
        <v>69</v>
      </c>
      <c r="J2" s="8" t="s">
        <v>10</v>
      </c>
    </row>
    <row r="3" spans="1:10" x14ac:dyDescent="0.3">
      <c r="A3" s="2">
        <f t="shared" ref="A3:A50" si="0">B2</f>
        <v>1.1000000000000001</v>
      </c>
      <c r="B3" s="2">
        <f>Table13[[#This Row],[start]]+Table13[[#This Row],[duration]]</f>
        <v>3.1</v>
      </c>
      <c r="C3" s="3">
        <v>2</v>
      </c>
      <c r="D3" s="2">
        <v>0</v>
      </c>
      <c r="E3" s="2">
        <v>0.3</v>
      </c>
      <c r="F3" s="2">
        <v>0</v>
      </c>
      <c r="G3" s="27" t="s">
        <v>0</v>
      </c>
      <c r="H3" s="1" t="s">
        <v>67</v>
      </c>
      <c r="J3" t="str" cm="1">
        <f t="array" ref="J3">ExcelToJSON(Table13[#All])</f>
        <v>[{"start":"0.1","end":"1.1","duration":"1","x":"0","y":"0","rotation":"0","actions":"D","comment":"Pause at start"},{"start":"1.1","end":"3.1","duration":"2","x":"0","y":"0.3","rotation":"0","actions":"D","comment":"Drive away from line"},{"start":"3.1","end":"4.1","duration":"1","x":"0.2","y":"0","rotation":"0","actions":"D","comment":"Lower Intake while driving"},{"start":"4.1","end":"9.1","duration":"5","x":"0","y":"0","rotation":"0.5","actions":"D","comment":"Shoot"},{"start":"9.1","end":"11.1","duration":"2","x":"0","y":"0","rotation":"0","actions":"D","comment":"Stop All"}]</v>
      </c>
    </row>
    <row r="4" spans="1:10" x14ac:dyDescent="0.3">
      <c r="A4" s="2">
        <f t="shared" ref="A4:A5" si="1">B3</f>
        <v>3.1</v>
      </c>
      <c r="B4" s="2">
        <f>Table13[[#This Row],[start]]+Table13[[#This Row],[duration]]</f>
        <v>4.0999999999999996</v>
      </c>
      <c r="C4" s="3">
        <v>1</v>
      </c>
      <c r="D4" s="2">
        <v>0.2</v>
      </c>
      <c r="E4" s="2">
        <v>0</v>
      </c>
      <c r="F4" s="2">
        <v>0</v>
      </c>
      <c r="G4" s="27" t="s">
        <v>0</v>
      </c>
      <c r="H4" s="1" t="s">
        <v>68</v>
      </c>
    </row>
    <row r="5" spans="1:10" x14ac:dyDescent="0.3">
      <c r="A5" s="2">
        <f t="shared" si="1"/>
        <v>4.0999999999999996</v>
      </c>
      <c r="B5" s="2">
        <f>Table13[[#This Row],[start]]+Table13[[#This Row],[duration]]</f>
        <v>9.1</v>
      </c>
      <c r="C5" s="3">
        <v>5</v>
      </c>
      <c r="D5" s="2">
        <v>0</v>
      </c>
      <c r="E5" s="2">
        <v>0</v>
      </c>
      <c r="F5" s="2">
        <v>0.5</v>
      </c>
      <c r="G5" s="27" t="s">
        <v>0</v>
      </c>
      <c r="H5" s="1" t="s">
        <v>45</v>
      </c>
    </row>
    <row r="6" spans="1:10" x14ac:dyDescent="0.3">
      <c r="A6" s="2">
        <f t="shared" ref="A6" si="2">B5</f>
        <v>9.1</v>
      </c>
      <c r="B6" s="2">
        <f>Table13[[#This Row],[start]]+Table13[[#This Row],[duration]]</f>
        <v>11.1</v>
      </c>
      <c r="C6" s="3">
        <v>2</v>
      </c>
      <c r="D6" s="2">
        <v>0</v>
      </c>
      <c r="E6" s="2">
        <v>0</v>
      </c>
      <c r="F6" s="2">
        <v>0</v>
      </c>
      <c r="G6" s="27" t="s">
        <v>0</v>
      </c>
      <c r="H6" s="1" t="s">
        <v>43</v>
      </c>
    </row>
    <row r="7" spans="1:10" x14ac:dyDescent="0.3">
      <c r="A7" s="2">
        <f t="shared" si="0"/>
        <v>11.1</v>
      </c>
      <c r="B7" s="2" t="e">
        <f>Table13[[#This Row],[start]]+Table13[[#This Row],[duration]]</f>
        <v>#VALUE!</v>
      </c>
      <c r="C7" s="3"/>
      <c r="H7" s="1"/>
      <c r="J7" s="9" t="s">
        <v>11</v>
      </c>
    </row>
    <row r="8" spans="1:10" x14ac:dyDescent="0.3">
      <c r="A8" s="2" t="e">
        <f t="shared" si="0"/>
        <v>#VALUE!</v>
      </c>
      <c r="B8" s="2" t="e">
        <f>Table13[[#This Row],[start]]+Table13[[#This Row],[duration]]</f>
        <v>#VALUE!</v>
      </c>
      <c r="C8" s="3"/>
      <c r="H8" s="1"/>
      <c r="J8" s="37" t="s">
        <v>12</v>
      </c>
    </row>
    <row r="9" spans="1:10" x14ac:dyDescent="0.3">
      <c r="A9" s="2" t="e">
        <f t="shared" si="0"/>
        <v>#VALUE!</v>
      </c>
      <c r="B9" s="2" t="e">
        <f>Table13[[#This Row],[start]]+Table13[[#This Row],[duration]]</f>
        <v>#VALUE!</v>
      </c>
      <c r="C9" s="3"/>
      <c r="H9" s="1"/>
      <c r="J9" s="37"/>
    </row>
    <row r="10" spans="1:10" x14ac:dyDescent="0.3">
      <c r="A10" s="2" t="e">
        <f t="shared" si="0"/>
        <v>#VALUE!</v>
      </c>
      <c r="B10" s="2" t="e">
        <f>Table13[[#This Row],[start]]+Table13[[#This Row],[duration]]</f>
        <v>#VALUE!</v>
      </c>
      <c r="C10" s="3"/>
      <c r="H10" s="1"/>
    </row>
    <row r="11" spans="1:10" x14ac:dyDescent="0.3">
      <c r="A11" s="2" t="e">
        <f t="shared" si="0"/>
        <v>#VALUE!</v>
      </c>
      <c r="B11" s="2" t="e">
        <f>Table13[[#This Row],[start]]+Table13[[#This Row],[duration]]</f>
        <v>#VALUE!</v>
      </c>
      <c r="C11" s="3"/>
      <c r="H11" s="1"/>
      <c r="J11" s="9" t="s">
        <v>23</v>
      </c>
    </row>
    <row r="12" spans="1:10" x14ac:dyDescent="0.3">
      <c r="A12" s="2" t="e">
        <f t="shared" si="0"/>
        <v>#VALUE!</v>
      </c>
      <c r="B12" s="2" t="e">
        <f>Table13[[#This Row],[start]]+Table13[[#This Row],[duration]]</f>
        <v>#VALUE!</v>
      </c>
      <c r="C12" s="3"/>
      <c r="H12" s="1"/>
      <c r="J12" t="s">
        <v>35</v>
      </c>
    </row>
    <row r="13" spans="1:10" x14ac:dyDescent="0.3">
      <c r="A13" s="2" t="e">
        <f t="shared" si="0"/>
        <v>#VALUE!</v>
      </c>
      <c r="B13" s="2" t="e">
        <f>Table13[[#This Row],[start]]+Table13[[#This Row],[duration]]</f>
        <v>#VALUE!</v>
      </c>
      <c r="C13" s="3"/>
      <c r="H13" s="1"/>
      <c r="J13" t="s">
        <v>36</v>
      </c>
    </row>
    <row r="14" spans="1:10" x14ac:dyDescent="0.3">
      <c r="A14" s="2" t="e">
        <f t="shared" si="0"/>
        <v>#VALUE!</v>
      </c>
      <c r="B14" s="2" t="e">
        <f>Table13[[#This Row],[start]]+Table13[[#This Row],[duration]]</f>
        <v>#VALUE!</v>
      </c>
      <c r="C14" s="3"/>
      <c r="H14" s="1"/>
      <c r="J14" t="s">
        <v>37</v>
      </c>
    </row>
    <row r="15" spans="1:10" x14ac:dyDescent="0.3">
      <c r="A15" s="2" t="e">
        <f t="shared" si="0"/>
        <v>#VALUE!</v>
      </c>
      <c r="B15" s="2" t="e">
        <f>Table13[[#This Row],[start]]+Table13[[#This Row],[duration]]</f>
        <v>#VALUE!</v>
      </c>
      <c r="C15" s="3"/>
      <c r="H15" s="1"/>
      <c r="J15" t="s">
        <v>38</v>
      </c>
    </row>
    <row r="16" spans="1:10" x14ac:dyDescent="0.3">
      <c r="A16" s="2" t="e">
        <f t="shared" si="0"/>
        <v>#VALUE!</v>
      </c>
      <c r="B16" s="2" t="e">
        <f>Table13[[#This Row],[start]]+Table13[[#This Row],[duration]]</f>
        <v>#VALUE!</v>
      </c>
      <c r="C16" s="3"/>
      <c r="H16" s="1"/>
      <c r="J16" t="s">
        <v>24</v>
      </c>
    </row>
    <row r="17" spans="1:10" x14ac:dyDescent="0.3">
      <c r="A17" s="2" t="e">
        <f t="shared" si="0"/>
        <v>#VALUE!</v>
      </c>
      <c r="B17" s="2" t="e">
        <f>Table13[[#This Row],[start]]+Table13[[#This Row],[duration]]</f>
        <v>#VALUE!</v>
      </c>
      <c r="C17" s="3"/>
      <c r="H17" s="1"/>
      <c r="J17" t="s">
        <v>39</v>
      </c>
    </row>
    <row r="18" spans="1:10" x14ac:dyDescent="0.3">
      <c r="A18" s="2" t="e">
        <f t="shared" si="0"/>
        <v>#VALUE!</v>
      </c>
      <c r="B18" s="2" t="e">
        <f>Table13[[#This Row],[start]]+Table13[[#This Row],[duration]]</f>
        <v>#VALUE!</v>
      </c>
      <c r="C18" s="3"/>
      <c r="H18" s="1"/>
      <c r="J18" t="s">
        <v>40</v>
      </c>
    </row>
    <row r="19" spans="1:10" x14ac:dyDescent="0.3">
      <c r="A19" s="2" t="e">
        <f t="shared" si="0"/>
        <v>#VALUE!</v>
      </c>
      <c r="B19" s="2" t="e">
        <f>Table13[[#This Row],[start]]+Table13[[#This Row],[duration]]</f>
        <v>#VALUE!</v>
      </c>
      <c r="C19" s="3"/>
      <c r="H19" s="1"/>
      <c r="J19" t="s">
        <v>41</v>
      </c>
    </row>
    <row r="20" spans="1:10" x14ac:dyDescent="0.3">
      <c r="A20" s="2" t="e">
        <f t="shared" si="0"/>
        <v>#VALUE!</v>
      </c>
      <c r="B20" s="2" t="e">
        <f>Table13[[#This Row],[start]]+Table13[[#This Row],[duration]]</f>
        <v>#VALUE!</v>
      </c>
      <c r="C20" s="3"/>
      <c r="H20" s="1"/>
      <c r="J20" t="s">
        <v>42</v>
      </c>
    </row>
    <row r="21" spans="1:10" x14ac:dyDescent="0.3">
      <c r="A21" s="2" t="e">
        <f t="shared" si="0"/>
        <v>#VALUE!</v>
      </c>
      <c r="B21" s="2" t="e">
        <f>Table13[[#This Row],[start]]+Table13[[#This Row],[duration]]</f>
        <v>#VALUE!</v>
      </c>
      <c r="C21" s="3"/>
      <c r="H21" s="1"/>
    </row>
    <row r="22" spans="1:10" x14ac:dyDescent="0.3">
      <c r="A22" s="2" t="e">
        <f t="shared" si="0"/>
        <v>#VALUE!</v>
      </c>
      <c r="B22" s="2" t="e">
        <f>Table13[[#This Row],[start]]+Table13[[#This Row],[duration]]</f>
        <v>#VALUE!</v>
      </c>
      <c r="C22" s="3"/>
      <c r="H22" s="1"/>
      <c r="J22" s="36" t="s">
        <v>27</v>
      </c>
    </row>
    <row r="23" spans="1:10" x14ac:dyDescent="0.3">
      <c r="A23" s="2" t="e">
        <f t="shared" si="0"/>
        <v>#VALUE!</v>
      </c>
      <c r="B23" s="2" t="e">
        <f>Table13[[#This Row],[start]]+Table13[[#This Row],[duration]]</f>
        <v>#VALUE!</v>
      </c>
      <c r="C23" s="3"/>
      <c r="H23" s="1"/>
      <c r="J23" s="36" t="s">
        <v>28</v>
      </c>
    </row>
    <row r="24" spans="1:10" x14ac:dyDescent="0.3">
      <c r="A24" s="2" t="e">
        <f t="shared" si="0"/>
        <v>#VALUE!</v>
      </c>
      <c r="B24" s="2" t="e">
        <f>Table13[[#This Row],[start]]+Table13[[#This Row],[duration]]</f>
        <v>#VALUE!</v>
      </c>
      <c r="C24" s="3"/>
      <c r="H24" s="1"/>
      <c r="J24" s="36" t="s">
        <v>29</v>
      </c>
    </row>
    <row r="25" spans="1:10" x14ac:dyDescent="0.3">
      <c r="A25" s="2" t="e">
        <f t="shared" si="0"/>
        <v>#VALUE!</v>
      </c>
      <c r="B25" s="2" t="e">
        <f>Table13[[#This Row],[start]]+Table13[[#This Row],[duration]]</f>
        <v>#VALUE!</v>
      </c>
      <c r="C25" s="3"/>
      <c r="H25" s="1"/>
      <c r="J25" s="36" t="s">
        <v>30</v>
      </c>
    </row>
    <row r="26" spans="1:10" x14ac:dyDescent="0.3">
      <c r="A26" s="2" t="e">
        <f t="shared" si="0"/>
        <v>#VALUE!</v>
      </c>
      <c r="B26" s="2" t="e">
        <f>Table13[[#This Row],[start]]+Table13[[#This Row],[duration]]</f>
        <v>#VALUE!</v>
      </c>
      <c r="C26" s="3"/>
      <c r="H26" s="1"/>
      <c r="J26" s="36" t="s">
        <v>31</v>
      </c>
    </row>
    <row r="27" spans="1:10" x14ac:dyDescent="0.3">
      <c r="A27" s="2" t="e">
        <f t="shared" si="0"/>
        <v>#VALUE!</v>
      </c>
      <c r="B27" s="2" t="e">
        <f>Table13[[#This Row],[start]]+Table13[[#This Row],[duration]]</f>
        <v>#VALUE!</v>
      </c>
      <c r="C27" s="3"/>
      <c r="H27" s="1"/>
      <c r="J27" s="36" t="s">
        <v>32</v>
      </c>
    </row>
    <row r="28" spans="1:10" x14ac:dyDescent="0.3">
      <c r="A28" s="2" t="e">
        <f t="shared" si="0"/>
        <v>#VALUE!</v>
      </c>
      <c r="B28" s="2" t="e">
        <f>Table13[[#This Row],[start]]+Table13[[#This Row],[duration]]</f>
        <v>#VALUE!</v>
      </c>
      <c r="C28" s="3"/>
      <c r="H28" s="1"/>
    </row>
    <row r="29" spans="1:10" x14ac:dyDescent="0.3">
      <c r="A29" s="2" t="e">
        <f t="shared" si="0"/>
        <v>#VALUE!</v>
      </c>
      <c r="B29" s="2" t="e">
        <f>Table13[[#This Row],[start]]+Table13[[#This Row],[duration]]</f>
        <v>#VALUE!</v>
      </c>
      <c r="C29" s="3"/>
      <c r="H29" s="1"/>
    </row>
    <row r="30" spans="1:10" x14ac:dyDescent="0.3">
      <c r="A30" s="2" t="e">
        <f t="shared" si="0"/>
        <v>#VALUE!</v>
      </c>
      <c r="B30" s="2" t="e">
        <f>Table13[[#This Row],[start]]+Table13[[#This Row],[duration]]</f>
        <v>#VALUE!</v>
      </c>
      <c r="C30" s="3"/>
      <c r="H30" s="1"/>
    </row>
    <row r="31" spans="1:10" x14ac:dyDescent="0.3">
      <c r="A31" s="2" t="e">
        <f t="shared" si="0"/>
        <v>#VALUE!</v>
      </c>
      <c r="B31" s="2" t="e">
        <f>Table13[[#This Row],[start]]+Table13[[#This Row],[duration]]</f>
        <v>#VALUE!</v>
      </c>
      <c r="C31" s="3"/>
      <c r="H31" s="1"/>
    </row>
    <row r="32" spans="1:10" x14ac:dyDescent="0.3">
      <c r="A32" s="2" t="e">
        <f t="shared" si="0"/>
        <v>#VALUE!</v>
      </c>
      <c r="B32" s="2" t="e">
        <f>Table13[[#This Row],[start]]+Table13[[#This Row],[duration]]</f>
        <v>#VALUE!</v>
      </c>
      <c r="C32" s="3"/>
      <c r="H32" s="1"/>
    </row>
    <row r="33" spans="1:8" x14ac:dyDescent="0.3">
      <c r="A33" s="2" t="e">
        <f t="shared" si="0"/>
        <v>#VALUE!</v>
      </c>
      <c r="B33" s="2" t="e">
        <f>Table13[[#This Row],[start]]+Table13[[#This Row],[duration]]</f>
        <v>#VALUE!</v>
      </c>
      <c r="C33" s="3"/>
      <c r="H33" s="1"/>
    </row>
    <row r="34" spans="1:8" x14ac:dyDescent="0.3">
      <c r="A34" s="2" t="e">
        <f t="shared" si="0"/>
        <v>#VALUE!</v>
      </c>
      <c r="B34" s="2" t="e">
        <f>Table13[[#This Row],[start]]+Table13[[#This Row],[duration]]</f>
        <v>#VALUE!</v>
      </c>
      <c r="C34" s="3"/>
      <c r="H34" s="1"/>
    </row>
    <row r="35" spans="1:8" x14ac:dyDescent="0.3">
      <c r="A35" s="2" t="e">
        <f t="shared" si="0"/>
        <v>#VALUE!</v>
      </c>
      <c r="B35" s="2" t="e">
        <f>Table13[[#This Row],[start]]+Table13[[#This Row],[duration]]</f>
        <v>#VALUE!</v>
      </c>
      <c r="C35" s="3"/>
      <c r="H35" s="1"/>
    </row>
    <row r="36" spans="1:8" x14ac:dyDescent="0.3">
      <c r="A36" s="2" t="e">
        <f t="shared" si="0"/>
        <v>#VALUE!</v>
      </c>
      <c r="B36" s="2" t="e">
        <f>Table13[[#This Row],[start]]+Table13[[#This Row],[duration]]</f>
        <v>#VALUE!</v>
      </c>
      <c r="C36" s="3"/>
      <c r="H36" s="1"/>
    </row>
    <row r="37" spans="1:8" x14ac:dyDescent="0.3">
      <c r="A37" s="2" t="e">
        <f t="shared" si="0"/>
        <v>#VALUE!</v>
      </c>
      <c r="B37" s="2" t="e">
        <f>Table13[[#This Row],[start]]+Table13[[#This Row],[duration]]</f>
        <v>#VALUE!</v>
      </c>
      <c r="C37" s="3"/>
      <c r="H37" s="1"/>
    </row>
    <row r="38" spans="1:8" x14ac:dyDescent="0.3">
      <c r="A38" s="2" t="e">
        <f t="shared" si="0"/>
        <v>#VALUE!</v>
      </c>
      <c r="B38" s="2" t="e">
        <f>Table13[[#This Row],[start]]+Table13[[#This Row],[duration]]</f>
        <v>#VALUE!</v>
      </c>
      <c r="C38" s="3"/>
      <c r="H38" s="1"/>
    </row>
    <row r="39" spans="1:8" x14ac:dyDescent="0.3">
      <c r="A39" s="2" t="e">
        <f t="shared" si="0"/>
        <v>#VALUE!</v>
      </c>
      <c r="B39" s="2" t="e">
        <f>Table13[[#This Row],[start]]+Table13[[#This Row],[duration]]</f>
        <v>#VALUE!</v>
      </c>
      <c r="C39" s="3"/>
      <c r="H39" s="1"/>
    </row>
    <row r="40" spans="1:8" x14ac:dyDescent="0.3">
      <c r="A40" s="2" t="e">
        <f t="shared" si="0"/>
        <v>#VALUE!</v>
      </c>
      <c r="B40" s="2" t="e">
        <f>Table13[[#This Row],[start]]+Table13[[#This Row],[duration]]</f>
        <v>#VALUE!</v>
      </c>
      <c r="C40" s="3"/>
      <c r="H40" s="1"/>
    </row>
    <row r="41" spans="1:8" x14ac:dyDescent="0.3">
      <c r="A41" s="2" t="e">
        <f t="shared" si="0"/>
        <v>#VALUE!</v>
      </c>
      <c r="B41" s="2" t="e">
        <f>Table13[[#This Row],[start]]+Table13[[#This Row],[duration]]</f>
        <v>#VALUE!</v>
      </c>
      <c r="C41" s="3"/>
      <c r="H41" s="1"/>
    </row>
    <row r="42" spans="1:8" x14ac:dyDescent="0.3">
      <c r="A42" s="2" t="e">
        <f t="shared" si="0"/>
        <v>#VALUE!</v>
      </c>
      <c r="B42" s="2" t="e">
        <f>Table13[[#This Row],[start]]+Table13[[#This Row],[duration]]</f>
        <v>#VALUE!</v>
      </c>
      <c r="C42" s="3"/>
      <c r="H42" s="1"/>
    </row>
    <row r="43" spans="1:8" x14ac:dyDescent="0.3">
      <c r="A43" s="2" t="e">
        <f t="shared" si="0"/>
        <v>#VALUE!</v>
      </c>
      <c r="B43" s="2" t="e">
        <f>Table13[[#This Row],[start]]+Table13[[#This Row],[duration]]</f>
        <v>#VALUE!</v>
      </c>
      <c r="C43" s="3"/>
      <c r="H43" s="1"/>
    </row>
    <row r="44" spans="1:8" x14ac:dyDescent="0.3">
      <c r="A44" s="2" t="e">
        <f t="shared" si="0"/>
        <v>#VALUE!</v>
      </c>
      <c r="B44" s="2" t="e">
        <f>Table13[[#This Row],[start]]+Table13[[#This Row],[duration]]</f>
        <v>#VALUE!</v>
      </c>
      <c r="C44" s="3"/>
      <c r="H44" s="1"/>
    </row>
    <row r="45" spans="1:8" x14ac:dyDescent="0.3">
      <c r="A45" s="2" t="e">
        <f t="shared" si="0"/>
        <v>#VALUE!</v>
      </c>
      <c r="B45" s="2" t="e">
        <f>Table13[[#This Row],[start]]+Table13[[#This Row],[duration]]</f>
        <v>#VALUE!</v>
      </c>
      <c r="C45" s="3"/>
      <c r="H45" s="1"/>
    </row>
    <row r="46" spans="1:8" x14ac:dyDescent="0.3">
      <c r="A46" s="2" t="e">
        <f t="shared" si="0"/>
        <v>#VALUE!</v>
      </c>
      <c r="B46" s="2" t="e">
        <f>Table13[[#This Row],[start]]+Table13[[#This Row],[duration]]</f>
        <v>#VALUE!</v>
      </c>
      <c r="C46" s="3"/>
      <c r="H46" s="1"/>
    </row>
    <row r="47" spans="1:8" x14ac:dyDescent="0.3">
      <c r="A47" s="2" t="e">
        <f t="shared" si="0"/>
        <v>#VALUE!</v>
      </c>
      <c r="B47" s="2" t="e">
        <f>Table13[[#This Row],[start]]+Table13[[#This Row],[duration]]</f>
        <v>#VALUE!</v>
      </c>
      <c r="C47" s="3"/>
      <c r="H47" s="1"/>
    </row>
    <row r="48" spans="1:8" x14ac:dyDescent="0.3">
      <c r="A48" s="2" t="e">
        <f t="shared" si="0"/>
        <v>#VALUE!</v>
      </c>
      <c r="B48" s="2" t="e">
        <f>Table13[[#This Row],[start]]+Table13[[#This Row],[duration]]</f>
        <v>#VALUE!</v>
      </c>
      <c r="C48" s="3"/>
      <c r="H48" s="1"/>
    </row>
    <row r="49" spans="1:8" x14ac:dyDescent="0.3">
      <c r="A49" s="2" t="e">
        <f t="shared" si="0"/>
        <v>#VALUE!</v>
      </c>
      <c r="B49" s="2" t="e">
        <f>Table13[[#This Row],[start]]+Table13[[#This Row],[duration]]</f>
        <v>#VALUE!</v>
      </c>
      <c r="C49" s="3"/>
      <c r="H49" s="1"/>
    </row>
    <row r="50" spans="1:8" x14ac:dyDescent="0.3">
      <c r="A50" s="2" t="e">
        <f t="shared" si="0"/>
        <v>#VALUE!</v>
      </c>
      <c r="B50" s="2" t="e">
        <f>Table13[[#This Row],[start]]+Table13[[#This Row],[duration]]</f>
        <v>#VALUE!</v>
      </c>
      <c r="C50" s="3"/>
      <c r="H50" s="1"/>
    </row>
  </sheetData>
  <mergeCells count="1">
    <mergeCell ref="J8:J9"/>
  </mergeCell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J50"/>
  <sheetViews>
    <sheetView showGridLines="0" workbookViewId="0">
      <selection activeCell="J3" sqref="J3"/>
    </sheetView>
  </sheetViews>
  <sheetFormatPr defaultColWidth="8.88671875" defaultRowHeight="14.4" x14ac:dyDescent="0.3"/>
  <cols>
    <col min="1" max="1" width="11.109375" style="2" customWidth="1"/>
    <col min="2" max="2" width="8.6640625" style="2" customWidth="1"/>
    <col min="3" max="3" width="13.109375" style="2" customWidth="1"/>
    <col min="4" max="5" width="9.109375" style="2"/>
    <col min="6" max="6" width="11" style="2" bestFit="1" customWidth="1"/>
    <col min="7" max="7" width="9.6640625" style="27" customWidth="1"/>
    <col min="8" max="8" width="28.6640625" customWidth="1"/>
    <col min="10" max="10" width="80.6640625" customWidth="1"/>
  </cols>
  <sheetData>
    <row r="1" spans="1:10" x14ac:dyDescent="0.3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7" t="s">
        <v>8</v>
      </c>
      <c r="H1" s="1" t="s">
        <v>9</v>
      </c>
    </row>
    <row r="2" spans="1:10" x14ac:dyDescent="0.3">
      <c r="A2" s="3">
        <v>0.1</v>
      </c>
      <c r="B2" s="2">
        <f>Table134[[#This Row],[start]]+Table134[[#This Row],[duration]]</f>
        <v>3.1</v>
      </c>
      <c r="C2" s="3">
        <v>3</v>
      </c>
      <c r="D2" s="2">
        <v>0</v>
      </c>
      <c r="E2" s="2">
        <v>0</v>
      </c>
      <c r="F2" s="2">
        <v>0</v>
      </c>
      <c r="G2" s="27" t="s">
        <v>44</v>
      </c>
      <c r="H2" s="1" t="s">
        <v>45</v>
      </c>
      <c r="J2" s="8" t="s">
        <v>10</v>
      </c>
    </row>
    <row r="3" spans="1:10" x14ac:dyDescent="0.3">
      <c r="A3" s="2">
        <f t="shared" ref="A3:A12" si="0">B2</f>
        <v>3.1</v>
      </c>
      <c r="B3" s="2">
        <f>Table134[[#This Row],[start]]+Table134[[#This Row],[duration]]</f>
        <v>4.0999999999999996</v>
      </c>
      <c r="C3" s="3">
        <v>1</v>
      </c>
      <c r="D3" s="2">
        <v>0</v>
      </c>
      <c r="E3" s="2">
        <v>0</v>
      </c>
      <c r="F3" s="2">
        <v>0.5</v>
      </c>
      <c r="G3" s="27" t="s">
        <v>0</v>
      </c>
      <c r="H3" s="1" t="s">
        <v>46</v>
      </c>
      <c r="J3" t="str" cm="1">
        <f t="array" ref="J3">ExcelToJSON(Table134[#All])</f>
        <v>[{"start":"0.1","end":"3.1","duration":"3","x":"0","y":"0","rotation":"0","actions":"S","comment":"Shoot"},{"start":"3.1","end":"4.1","duration":"1","x":"0","y":"0","rotation":"0.5","actions":"D","comment":"Rotate toward ramp"},{"start":"4.1","end":"7.1","duration":"3","x":"0","y":"0.5","rotation":"0","actions":"D","comment":"Drive over ramp"},{"start":"7.1","end":"8.1","duration":"1","x":"0","y":"0.5","rotation":"0","actions":"DWL","comment":"Drive &amp; Lower Wrist"},{"start":"8.1","end":"10.1","duration":"2","x":"0","y":"0.25","rotation":"0","actions":"DF","comment":"Drive &amp; Intake"},{"start":"10.1","end":"15.1","duration":"5","x":"0","y":"-0.5","rotation":"0","actions":"D","comment":"Drive backwards &amp; stop Intake"},{"start":"15.1","end":"16.1","duration":"1","x":"0","y":"0","rotation":"-0.5","actions":"D","comment":"Rotate toward target"},{"start":"16.1","end":"19.1","duration":"3","x":"0","y":"0","rotation":"0","actions":"S","comment":"Shoot"},{"start":"19.1","end":"20.1","duration":"1","x":"0","y":"0","rotation":"0.5","actions":"D","comment":"Straighten robot"},{"start":"20.1","end":"22.1","duration":"2","x":"0.5","y":"-0.5","rotation":"0","actions":"D","comment":"Drive to Depot"},{"start":"22.1","end":"24","duration":"1.9","x":"0","y":"0","rotation":"0","actions":"D","comment":"Stop"}]</v>
      </c>
    </row>
    <row r="4" spans="1:10" x14ac:dyDescent="0.3">
      <c r="A4" s="2">
        <f t="shared" si="0"/>
        <v>4.0999999999999996</v>
      </c>
      <c r="B4" s="2">
        <f>Table134[[#This Row],[start]]+Table134[[#This Row],[duration]]</f>
        <v>7.1</v>
      </c>
      <c r="C4" s="3">
        <v>3</v>
      </c>
      <c r="D4" s="2">
        <v>0</v>
      </c>
      <c r="E4" s="2">
        <v>0.5</v>
      </c>
      <c r="F4" s="2">
        <v>0</v>
      </c>
      <c r="G4" s="27" t="s">
        <v>0</v>
      </c>
      <c r="H4" s="1" t="s">
        <v>47</v>
      </c>
    </row>
    <row r="5" spans="1:10" x14ac:dyDescent="0.3">
      <c r="A5" s="2">
        <f t="shared" si="0"/>
        <v>7.1</v>
      </c>
      <c r="B5" s="2">
        <f>Table134[[#This Row],[start]]+Table134[[#This Row],[duration]]</f>
        <v>8.1</v>
      </c>
      <c r="C5" s="3">
        <v>1</v>
      </c>
      <c r="D5" s="2">
        <v>0</v>
      </c>
      <c r="E5" s="2">
        <v>0.5</v>
      </c>
      <c r="F5" s="2">
        <v>0</v>
      </c>
      <c r="G5" s="27" t="s">
        <v>60</v>
      </c>
      <c r="H5" s="1" t="s">
        <v>59</v>
      </c>
    </row>
    <row r="6" spans="1:10" x14ac:dyDescent="0.3">
      <c r="A6" s="2">
        <f t="shared" si="0"/>
        <v>8.1</v>
      </c>
      <c r="B6" s="2">
        <f>Table134[[#This Row],[start]]+Table134[[#This Row],[duration]]</f>
        <v>10.1</v>
      </c>
      <c r="C6" s="3">
        <v>2</v>
      </c>
      <c r="D6" s="2">
        <v>0</v>
      </c>
      <c r="E6" s="2">
        <v>0.25</v>
      </c>
      <c r="F6" s="2">
        <v>0</v>
      </c>
      <c r="G6" s="27" t="s">
        <v>52</v>
      </c>
      <c r="H6" s="1" t="s">
        <v>48</v>
      </c>
    </row>
    <row r="7" spans="1:10" x14ac:dyDescent="0.3">
      <c r="A7" s="2">
        <f t="shared" si="0"/>
        <v>10.1</v>
      </c>
      <c r="B7" s="2">
        <f>Table134[[#This Row],[start]]+Table134[[#This Row],[duration]]</f>
        <v>15.1</v>
      </c>
      <c r="C7" s="3">
        <v>5</v>
      </c>
      <c r="D7" s="2">
        <v>0</v>
      </c>
      <c r="E7" s="2">
        <v>-0.5</v>
      </c>
      <c r="F7" s="2">
        <v>0</v>
      </c>
      <c r="G7" s="27" t="s">
        <v>0</v>
      </c>
      <c r="H7" s="1" t="s">
        <v>49</v>
      </c>
      <c r="J7" s="9" t="s">
        <v>11</v>
      </c>
    </row>
    <row r="8" spans="1:10" x14ac:dyDescent="0.3">
      <c r="A8" s="2">
        <f t="shared" si="0"/>
        <v>15.1</v>
      </c>
      <c r="B8" s="2">
        <f>Table134[[#This Row],[start]]+Table134[[#This Row],[duration]]</f>
        <v>16.100000000000001</v>
      </c>
      <c r="C8" s="3">
        <v>1</v>
      </c>
      <c r="D8" s="2">
        <v>0</v>
      </c>
      <c r="E8" s="2">
        <v>0</v>
      </c>
      <c r="F8" s="2">
        <v>-0.5</v>
      </c>
      <c r="G8" s="27" t="s">
        <v>0</v>
      </c>
      <c r="H8" s="1" t="s">
        <v>50</v>
      </c>
      <c r="J8" s="37" t="s">
        <v>12</v>
      </c>
    </row>
    <row r="9" spans="1:10" x14ac:dyDescent="0.3">
      <c r="A9" s="2">
        <f t="shared" si="0"/>
        <v>16.100000000000001</v>
      </c>
      <c r="B9" s="2">
        <f>Table134[[#This Row],[start]]+Table134[[#This Row],[duration]]</f>
        <v>19.100000000000001</v>
      </c>
      <c r="C9" s="3">
        <v>3</v>
      </c>
      <c r="D9" s="2">
        <v>0</v>
      </c>
      <c r="E9" s="2">
        <v>0</v>
      </c>
      <c r="F9" s="2">
        <v>0</v>
      </c>
      <c r="G9" s="27" t="s">
        <v>44</v>
      </c>
      <c r="H9" s="1" t="s">
        <v>45</v>
      </c>
      <c r="J9" s="37"/>
    </row>
    <row r="10" spans="1:10" x14ac:dyDescent="0.3">
      <c r="A10" s="2">
        <f t="shared" si="0"/>
        <v>19.100000000000001</v>
      </c>
      <c r="B10" s="2">
        <f>Table134[[#This Row],[start]]+Table134[[#This Row],[duration]]</f>
        <v>20.100000000000001</v>
      </c>
      <c r="C10" s="3">
        <v>1</v>
      </c>
      <c r="D10" s="2">
        <v>0</v>
      </c>
      <c r="E10" s="2">
        <v>0</v>
      </c>
      <c r="F10" s="2">
        <v>0.5</v>
      </c>
      <c r="G10" s="27" t="s">
        <v>0</v>
      </c>
      <c r="H10" s="1" t="s">
        <v>53</v>
      </c>
    </row>
    <row r="11" spans="1:10" x14ac:dyDescent="0.3">
      <c r="A11" s="2">
        <f t="shared" si="0"/>
        <v>20.100000000000001</v>
      </c>
      <c r="B11" s="2">
        <f>Table134[[#This Row],[start]]+Table134[[#This Row],[duration]]</f>
        <v>22.1</v>
      </c>
      <c r="C11" s="3">
        <v>2</v>
      </c>
      <c r="D11" s="2">
        <v>0.5</v>
      </c>
      <c r="E11" s="2">
        <v>-0.5</v>
      </c>
      <c r="F11" s="2">
        <v>0</v>
      </c>
      <c r="G11" s="27" t="s">
        <v>0</v>
      </c>
      <c r="H11" s="1" t="s">
        <v>54</v>
      </c>
      <c r="J11" s="9" t="s">
        <v>23</v>
      </c>
    </row>
    <row r="12" spans="1:10" x14ac:dyDescent="0.3">
      <c r="A12" s="2">
        <f t="shared" si="0"/>
        <v>22.1</v>
      </c>
      <c r="B12" s="2">
        <f>Table134[[#This Row],[start]]+Table134[[#This Row],[duration]]</f>
        <v>24</v>
      </c>
      <c r="C12" s="3">
        <v>1.9</v>
      </c>
      <c r="D12" s="2">
        <v>0</v>
      </c>
      <c r="E12" s="2">
        <v>0</v>
      </c>
      <c r="F12" s="2">
        <v>0</v>
      </c>
      <c r="G12" s="27" t="s">
        <v>0</v>
      </c>
      <c r="H12" s="1" t="s">
        <v>51</v>
      </c>
      <c r="J12" t="s">
        <v>35</v>
      </c>
    </row>
    <row r="13" spans="1:10" x14ac:dyDescent="0.3">
      <c r="A13" s="2">
        <f t="shared" ref="A13:A50" si="1">B12</f>
        <v>24</v>
      </c>
      <c r="B13" s="2" t="e">
        <f>Table134[[#This Row],[start]]+Table134[[#This Row],[duration]]</f>
        <v>#VALUE!</v>
      </c>
      <c r="C13" s="3"/>
      <c r="H13" s="1"/>
      <c r="J13" t="s">
        <v>36</v>
      </c>
    </row>
    <row r="14" spans="1:10" x14ac:dyDescent="0.3">
      <c r="A14" s="2" t="e">
        <f t="shared" si="1"/>
        <v>#VALUE!</v>
      </c>
      <c r="B14" s="2" t="e">
        <f>Table134[[#This Row],[start]]+Table134[[#This Row],[duration]]</f>
        <v>#VALUE!</v>
      </c>
      <c r="C14" s="3"/>
      <c r="H14" s="1"/>
      <c r="J14" t="s">
        <v>37</v>
      </c>
    </row>
    <row r="15" spans="1:10" x14ac:dyDescent="0.3">
      <c r="A15" s="2" t="e">
        <f t="shared" si="1"/>
        <v>#VALUE!</v>
      </c>
      <c r="B15" s="2" t="e">
        <f>Table134[[#This Row],[start]]+Table134[[#This Row],[duration]]</f>
        <v>#VALUE!</v>
      </c>
      <c r="C15" s="3"/>
      <c r="H15" s="1"/>
      <c r="J15" t="s">
        <v>38</v>
      </c>
    </row>
    <row r="16" spans="1:10" x14ac:dyDescent="0.3">
      <c r="A16" s="2" t="e">
        <f t="shared" si="1"/>
        <v>#VALUE!</v>
      </c>
      <c r="B16" s="2" t="e">
        <f>Table134[[#This Row],[start]]+Table134[[#This Row],[duration]]</f>
        <v>#VALUE!</v>
      </c>
      <c r="C16" s="3"/>
      <c r="H16" s="1"/>
      <c r="J16" t="s">
        <v>24</v>
      </c>
    </row>
    <row r="17" spans="1:10" x14ac:dyDescent="0.3">
      <c r="A17" s="2" t="e">
        <f t="shared" si="1"/>
        <v>#VALUE!</v>
      </c>
      <c r="B17" s="2" t="e">
        <f>Table134[[#This Row],[start]]+Table134[[#This Row],[duration]]</f>
        <v>#VALUE!</v>
      </c>
      <c r="C17" s="3"/>
      <c r="H17" s="1"/>
      <c r="J17" t="s">
        <v>39</v>
      </c>
    </row>
    <row r="18" spans="1:10" x14ac:dyDescent="0.3">
      <c r="A18" s="2" t="e">
        <f t="shared" si="1"/>
        <v>#VALUE!</v>
      </c>
      <c r="B18" s="2" t="e">
        <f>Table134[[#This Row],[start]]+Table134[[#This Row],[duration]]</f>
        <v>#VALUE!</v>
      </c>
      <c r="C18" s="3"/>
      <c r="H18" s="1"/>
      <c r="J18" t="s">
        <v>40</v>
      </c>
    </row>
    <row r="19" spans="1:10" x14ac:dyDescent="0.3">
      <c r="A19" s="2" t="e">
        <f t="shared" si="1"/>
        <v>#VALUE!</v>
      </c>
      <c r="B19" s="2" t="e">
        <f>Table134[[#This Row],[start]]+Table134[[#This Row],[duration]]</f>
        <v>#VALUE!</v>
      </c>
      <c r="C19" s="3"/>
      <c r="H19" s="1"/>
      <c r="J19" t="s">
        <v>41</v>
      </c>
    </row>
    <row r="20" spans="1:10" x14ac:dyDescent="0.3">
      <c r="A20" s="2" t="e">
        <f t="shared" si="1"/>
        <v>#VALUE!</v>
      </c>
      <c r="B20" s="2" t="e">
        <f>Table134[[#This Row],[start]]+Table134[[#This Row],[duration]]</f>
        <v>#VALUE!</v>
      </c>
      <c r="C20" s="3"/>
      <c r="H20" s="1"/>
      <c r="J20" t="s">
        <v>42</v>
      </c>
    </row>
    <row r="21" spans="1:10" x14ac:dyDescent="0.3">
      <c r="A21" s="2" t="e">
        <f t="shared" si="1"/>
        <v>#VALUE!</v>
      </c>
      <c r="B21" s="2" t="e">
        <f>Table134[[#This Row],[start]]+Table134[[#This Row],[duration]]</f>
        <v>#VALUE!</v>
      </c>
      <c r="C21" s="3"/>
      <c r="H21" s="1"/>
    </row>
    <row r="22" spans="1:10" x14ac:dyDescent="0.3">
      <c r="A22" s="2" t="e">
        <f t="shared" si="1"/>
        <v>#VALUE!</v>
      </c>
      <c r="B22" s="2" t="e">
        <f>Table134[[#This Row],[start]]+Table134[[#This Row],[duration]]</f>
        <v>#VALUE!</v>
      </c>
      <c r="C22" s="3"/>
      <c r="H22" s="1"/>
      <c r="J22" s="36" t="s">
        <v>27</v>
      </c>
    </row>
    <row r="23" spans="1:10" x14ac:dyDescent="0.3">
      <c r="A23" s="2" t="e">
        <f t="shared" si="1"/>
        <v>#VALUE!</v>
      </c>
      <c r="B23" s="2" t="e">
        <f>Table134[[#This Row],[start]]+Table134[[#This Row],[duration]]</f>
        <v>#VALUE!</v>
      </c>
      <c r="C23" s="3"/>
      <c r="H23" s="1"/>
      <c r="J23" s="36" t="s">
        <v>28</v>
      </c>
    </row>
    <row r="24" spans="1:10" x14ac:dyDescent="0.3">
      <c r="A24" s="2" t="e">
        <f t="shared" si="1"/>
        <v>#VALUE!</v>
      </c>
      <c r="B24" s="2" t="e">
        <f>Table134[[#This Row],[start]]+Table134[[#This Row],[duration]]</f>
        <v>#VALUE!</v>
      </c>
      <c r="C24" s="3"/>
      <c r="H24" s="1"/>
      <c r="J24" s="36" t="s">
        <v>29</v>
      </c>
    </row>
    <row r="25" spans="1:10" x14ac:dyDescent="0.3">
      <c r="A25" s="2" t="e">
        <f t="shared" si="1"/>
        <v>#VALUE!</v>
      </c>
      <c r="B25" s="2" t="e">
        <f>Table134[[#This Row],[start]]+Table134[[#This Row],[duration]]</f>
        <v>#VALUE!</v>
      </c>
      <c r="C25" s="3"/>
      <c r="H25" s="1"/>
      <c r="J25" s="36" t="s">
        <v>30</v>
      </c>
    </row>
    <row r="26" spans="1:10" x14ac:dyDescent="0.3">
      <c r="A26" s="2" t="e">
        <f t="shared" si="1"/>
        <v>#VALUE!</v>
      </c>
      <c r="B26" s="2" t="e">
        <f>Table134[[#This Row],[start]]+Table134[[#This Row],[duration]]</f>
        <v>#VALUE!</v>
      </c>
      <c r="C26" s="3"/>
      <c r="H26" s="1"/>
      <c r="J26" s="36" t="s">
        <v>31</v>
      </c>
    </row>
    <row r="27" spans="1:10" x14ac:dyDescent="0.3">
      <c r="A27" s="2" t="e">
        <f t="shared" si="1"/>
        <v>#VALUE!</v>
      </c>
      <c r="B27" s="2" t="e">
        <f>Table134[[#This Row],[start]]+Table134[[#This Row],[duration]]</f>
        <v>#VALUE!</v>
      </c>
      <c r="C27" s="3"/>
      <c r="H27" s="1"/>
      <c r="J27" s="36" t="s">
        <v>32</v>
      </c>
    </row>
    <row r="28" spans="1:10" x14ac:dyDescent="0.3">
      <c r="A28" s="2" t="e">
        <f t="shared" si="1"/>
        <v>#VALUE!</v>
      </c>
      <c r="B28" s="2" t="e">
        <f>Table134[[#This Row],[start]]+Table134[[#This Row],[duration]]</f>
        <v>#VALUE!</v>
      </c>
      <c r="C28" s="3"/>
      <c r="H28" s="1"/>
    </row>
    <row r="29" spans="1:10" x14ac:dyDescent="0.3">
      <c r="A29" s="2" t="e">
        <f t="shared" si="1"/>
        <v>#VALUE!</v>
      </c>
      <c r="B29" s="2" t="e">
        <f>Table134[[#This Row],[start]]+Table134[[#This Row],[duration]]</f>
        <v>#VALUE!</v>
      </c>
      <c r="C29" s="3"/>
      <c r="H29" s="1"/>
    </row>
    <row r="30" spans="1:10" x14ac:dyDescent="0.3">
      <c r="A30" s="2" t="e">
        <f t="shared" si="1"/>
        <v>#VALUE!</v>
      </c>
      <c r="B30" s="2" t="e">
        <f>Table134[[#This Row],[start]]+Table134[[#This Row],[duration]]</f>
        <v>#VALUE!</v>
      </c>
      <c r="C30" s="3"/>
      <c r="H30" s="1"/>
    </row>
    <row r="31" spans="1:10" x14ac:dyDescent="0.3">
      <c r="A31" s="2" t="e">
        <f t="shared" si="1"/>
        <v>#VALUE!</v>
      </c>
      <c r="B31" s="2" t="e">
        <f>Table134[[#This Row],[start]]+Table134[[#This Row],[duration]]</f>
        <v>#VALUE!</v>
      </c>
      <c r="C31" s="3"/>
      <c r="H31" s="1"/>
    </row>
    <row r="32" spans="1:10" x14ac:dyDescent="0.3">
      <c r="A32" s="2" t="e">
        <f t="shared" si="1"/>
        <v>#VALUE!</v>
      </c>
      <c r="B32" s="2" t="e">
        <f>Table134[[#This Row],[start]]+Table134[[#This Row],[duration]]</f>
        <v>#VALUE!</v>
      </c>
      <c r="C32" s="3"/>
      <c r="H32" s="1"/>
    </row>
    <row r="33" spans="1:8" x14ac:dyDescent="0.3">
      <c r="A33" s="2" t="e">
        <f t="shared" si="1"/>
        <v>#VALUE!</v>
      </c>
      <c r="B33" s="2" t="e">
        <f>Table134[[#This Row],[start]]+Table134[[#This Row],[duration]]</f>
        <v>#VALUE!</v>
      </c>
      <c r="C33" s="3"/>
      <c r="H33" s="1"/>
    </row>
    <row r="34" spans="1:8" x14ac:dyDescent="0.3">
      <c r="A34" s="2" t="e">
        <f t="shared" si="1"/>
        <v>#VALUE!</v>
      </c>
      <c r="B34" s="2" t="e">
        <f>Table134[[#This Row],[start]]+Table134[[#This Row],[duration]]</f>
        <v>#VALUE!</v>
      </c>
      <c r="C34" s="3"/>
      <c r="H34" s="1"/>
    </row>
    <row r="35" spans="1:8" x14ac:dyDescent="0.3">
      <c r="A35" s="2" t="e">
        <f t="shared" si="1"/>
        <v>#VALUE!</v>
      </c>
      <c r="B35" s="2" t="e">
        <f>Table134[[#This Row],[start]]+Table134[[#This Row],[duration]]</f>
        <v>#VALUE!</v>
      </c>
      <c r="C35" s="3"/>
      <c r="H35" s="1"/>
    </row>
    <row r="36" spans="1:8" x14ac:dyDescent="0.3">
      <c r="A36" s="2" t="e">
        <f t="shared" si="1"/>
        <v>#VALUE!</v>
      </c>
      <c r="B36" s="2" t="e">
        <f>Table134[[#This Row],[start]]+Table134[[#This Row],[duration]]</f>
        <v>#VALUE!</v>
      </c>
      <c r="C36" s="3"/>
      <c r="H36" s="1"/>
    </row>
    <row r="37" spans="1:8" x14ac:dyDescent="0.3">
      <c r="A37" s="2" t="e">
        <f t="shared" si="1"/>
        <v>#VALUE!</v>
      </c>
      <c r="B37" s="2" t="e">
        <f>Table134[[#This Row],[start]]+Table134[[#This Row],[duration]]</f>
        <v>#VALUE!</v>
      </c>
      <c r="C37" s="3"/>
      <c r="H37" s="1"/>
    </row>
    <row r="38" spans="1:8" x14ac:dyDescent="0.3">
      <c r="A38" s="2" t="e">
        <f t="shared" si="1"/>
        <v>#VALUE!</v>
      </c>
      <c r="B38" s="2" t="e">
        <f>Table134[[#This Row],[start]]+Table134[[#This Row],[duration]]</f>
        <v>#VALUE!</v>
      </c>
      <c r="C38" s="3"/>
      <c r="H38" s="1"/>
    </row>
    <row r="39" spans="1:8" x14ac:dyDescent="0.3">
      <c r="A39" s="2" t="e">
        <f t="shared" si="1"/>
        <v>#VALUE!</v>
      </c>
      <c r="B39" s="2" t="e">
        <f>Table134[[#This Row],[start]]+Table134[[#This Row],[duration]]</f>
        <v>#VALUE!</v>
      </c>
      <c r="C39" s="3"/>
      <c r="H39" s="1"/>
    </row>
    <row r="40" spans="1:8" x14ac:dyDescent="0.3">
      <c r="A40" s="2" t="e">
        <f t="shared" si="1"/>
        <v>#VALUE!</v>
      </c>
      <c r="B40" s="2" t="e">
        <f>Table134[[#This Row],[start]]+Table134[[#This Row],[duration]]</f>
        <v>#VALUE!</v>
      </c>
      <c r="C40" s="3"/>
      <c r="H40" s="1"/>
    </row>
    <row r="41" spans="1:8" x14ac:dyDescent="0.3">
      <c r="A41" s="2" t="e">
        <f t="shared" si="1"/>
        <v>#VALUE!</v>
      </c>
      <c r="B41" s="2" t="e">
        <f>Table134[[#This Row],[start]]+Table134[[#This Row],[duration]]</f>
        <v>#VALUE!</v>
      </c>
      <c r="C41" s="3"/>
      <c r="H41" s="1"/>
    </row>
    <row r="42" spans="1:8" x14ac:dyDescent="0.3">
      <c r="A42" s="2" t="e">
        <f t="shared" si="1"/>
        <v>#VALUE!</v>
      </c>
      <c r="B42" s="2" t="e">
        <f>Table134[[#This Row],[start]]+Table134[[#This Row],[duration]]</f>
        <v>#VALUE!</v>
      </c>
      <c r="C42" s="3"/>
      <c r="H42" s="1"/>
    </row>
    <row r="43" spans="1:8" x14ac:dyDescent="0.3">
      <c r="A43" s="2" t="e">
        <f t="shared" si="1"/>
        <v>#VALUE!</v>
      </c>
      <c r="B43" s="2" t="e">
        <f>Table134[[#This Row],[start]]+Table134[[#This Row],[duration]]</f>
        <v>#VALUE!</v>
      </c>
      <c r="C43" s="3"/>
      <c r="H43" s="1"/>
    </row>
    <row r="44" spans="1:8" x14ac:dyDescent="0.3">
      <c r="A44" s="2" t="e">
        <f t="shared" si="1"/>
        <v>#VALUE!</v>
      </c>
      <c r="B44" s="2" t="e">
        <f>Table134[[#This Row],[start]]+Table134[[#This Row],[duration]]</f>
        <v>#VALUE!</v>
      </c>
      <c r="C44" s="3"/>
      <c r="H44" s="1"/>
    </row>
    <row r="45" spans="1:8" x14ac:dyDescent="0.3">
      <c r="A45" s="2" t="e">
        <f t="shared" si="1"/>
        <v>#VALUE!</v>
      </c>
      <c r="B45" s="2" t="e">
        <f>Table134[[#This Row],[start]]+Table134[[#This Row],[duration]]</f>
        <v>#VALUE!</v>
      </c>
      <c r="C45" s="3"/>
      <c r="H45" s="1"/>
    </row>
    <row r="46" spans="1:8" x14ac:dyDescent="0.3">
      <c r="A46" s="2" t="e">
        <f t="shared" si="1"/>
        <v>#VALUE!</v>
      </c>
      <c r="B46" s="2" t="e">
        <f>Table134[[#This Row],[start]]+Table134[[#This Row],[duration]]</f>
        <v>#VALUE!</v>
      </c>
      <c r="C46" s="3"/>
      <c r="H46" s="1"/>
    </row>
    <row r="47" spans="1:8" x14ac:dyDescent="0.3">
      <c r="A47" s="2" t="e">
        <f t="shared" si="1"/>
        <v>#VALUE!</v>
      </c>
      <c r="B47" s="2" t="e">
        <f>Table134[[#This Row],[start]]+Table134[[#This Row],[duration]]</f>
        <v>#VALUE!</v>
      </c>
      <c r="C47" s="3"/>
      <c r="H47" s="1"/>
    </row>
    <row r="48" spans="1:8" x14ac:dyDescent="0.3">
      <c r="A48" s="2" t="e">
        <f t="shared" si="1"/>
        <v>#VALUE!</v>
      </c>
      <c r="B48" s="2" t="e">
        <f>Table134[[#This Row],[start]]+Table134[[#This Row],[duration]]</f>
        <v>#VALUE!</v>
      </c>
      <c r="C48" s="3"/>
      <c r="H48" s="1"/>
    </row>
    <row r="49" spans="1:8" x14ac:dyDescent="0.3">
      <c r="A49" s="2" t="e">
        <f t="shared" si="1"/>
        <v>#VALUE!</v>
      </c>
      <c r="B49" s="2" t="e">
        <f>Table134[[#This Row],[start]]+Table134[[#This Row],[duration]]</f>
        <v>#VALUE!</v>
      </c>
      <c r="C49" s="3"/>
      <c r="H49" s="1"/>
    </row>
    <row r="50" spans="1:8" x14ac:dyDescent="0.3">
      <c r="A50" s="2" t="e">
        <f t="shared" si="1"/>
        <v>#VALUE!</v>
      </c>
      <c r="B50" s="2" t="e">
        <f>Table134[[#This Row],[start]]+Table134[[#This Row],[duration]]</f>
        <v>#VALUE!</v>
      </c>
      <c r="C50" s="3"/>
      <c r="H50" s="1"/>
    </row>
  </sheetData>
  <mergeCells count="1">
    <mergeCell ref="J8:J9"/>
  </mergeCells>
  <phoneticPr fontId="9" type="noConversion"/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J50"/>
  <sheetViews>
    <sheetView showGridLines="0" workbookViewId="0">
      <selection activeCell="J3" sqref="J3"/>
    </sheetView>
  </sheetViews>
  <sheetFormatPr defaultColWidth="8.88671875" defaultRowHeight="14.4" x14ac:dyDescent="0.3"/>
  <cols>
    <col min="1" max="1" width="11.109375" style="2" customWidth="1"/>
    <col min="2" max="2" width="8.6640625" style="2" customWidth="1"/>
    <col min="3" max="3" width="13.109375" style="2" customWidth="1"/>
    <col min="4" max="5" width="8.88671875" style="2"/>
    <col min="6" max="6" width="11" style="2" bestFit="1" customWidth="1"/>
    <col min="7" max="7" width="9.6640625" style="27" customWidth="1"/>
    <col min="8" max="8" width="28.6640625" customWidth="1"/>
    <col min="10" max="10" width="80.6640625" customWidth="1"/>
  </cols>
  <sheetData>
    <row r="1" spans="1:10" x14ac:dyDescent="0.3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7" t="s">
        <v>8</v>
      </c>
      <c r="H1" s="1" t="s">
        <v>9</v>
      </c>
    </row>
    <row r="2" spans="1:10" x14ac:dyDescent="0.3">
      <c r="A2" s="3">
        <v>0.1</v>
      </c>
      <c r="B2" s="2">
        <f>Table1347[[#This Row],[start]]+Table1347[[#This Row],[duration]]</f>
        <v>3.1</v>
      </c>
      <c r="C2" s="3">
        <v>3</v>
      </c>
      <c r="D2" s="2">
        <v>0</v>
      </c>
      <c r="E2" s="2">
        <v>0</v>
      </c>
      <c r="F2" s="2">
        <v>0</v>
      </c>
      <c r="G2" s="27" t="s">
        <v>44</v>
      </c>
      <c r="H2" s="1" t="s">
        <v>45</v>
      </c>
      <c r="J2" s="8" t="s">
        <v>10</v>
      </c>
    </row>
    <row r="3" spans="1:10" x14ac:dyDescent="0.3">
      <c r="A3" s="2">
        <f t="shared" ref="A3:A50" si="0">B2</f>
        <v>3.1</v>
      </c>
      <c r="B3" s="2">
        <f>Table1347[[#This Row],[start]]+Table1347[[#This Row],[duration]]</f>
        <v>3.6</v>
      </c>
      <c r="C3" s="3">
        <v>0.5</v>
      </c>
      <c r="D3" s="2">
        <v>0</v>
      </c>
      <c r="E3" s="2">
        <v>0</v>
      </c>
      <c r="F3" s="2">
        <v>-0.5</v>
      </c>
      <c r="G3" s="27" t="s">
        <v>0</v>
      </c>
      <c r="H3" s="1" t="s">
        <v>46</v>
      </c>
      <c r="J3" t="str" cm="1">
        <f t="array" ref="J3">ExcelToJSON(Table1347[#All])</f>
        <v>[{"start":"0.1","end":"3.1","duration":"3","x":"0","y":"0","rotation":"0","actions":"S","comment":"Shoot"},{"start":"3.1","end":"3.6","duration":"0.5","x":"0","y":"0","rotation":"-0.5","actions":"D","comment":"Rotate toward ramp"},{"start":"3.6","end":"5.1","duration":"1.5","x":"0","y":"0.5","rotation":"0","actions":"D","comment":"Drive over ramp"},{"start":"5.1","end":"5.6","duration":"0.5","x":"0","y":"0.5","rotation":"0","actions":"DWL","comment":"Drive &amp; Lower Wrist"},{"start":"5.6","end":"6.6","duration":"1","x":"0","y":"0.25","rotation":"0","actions":"DF","comment":"Drive &amp; Intake"},{"start":"6.6","end":"9.1","duration":"2.5","x":"0","y":"-0.5","rotation":"0","actions":"D","comment":"Drive backwards &amp; stop Intake"},{"start":"9.1","end":"9.6","duration":"0.5","x":"0","y":"0","rotation":"0.5","actions":"D","comment":"Rotate toward target"},{"start":"9.6","end":"12.6","duration":"3","x":"0","y":"0","rotation":"0","actions":"S","comment":"Shoot"},{"start":"12.6","end":"13.1","duration":"0.5","x":"0","y":"0","rotation":"-0.5","actions":"D","comment":"Straighten robot"},{"start":"13.1","end":"14.1","duration":"1","x":"0.5","y":"-0.5","rotation":"0","actions":"D","comment":"Drive to Ladder"},{"start":"14.1","end":"14.6","duration":"0.5","x":"0","y":"0","rotation":"0","actions":"EU","comment":"Raise elevator"},{"start":"14.6","end":"15.1","duration":"0.5","x":"-0.5","y":"0","rotation":"0","actions":"D","comment":"Drive backwards"},{"start":"15.1","end":"15.6","duration":"0.5","x":"0","y":"0","rotation":"0","actions":"EL","comment":"Lower elevator"},{"start":"15.6","end":"16.6","duration":"1","x":"0","y":"0","rotation":"0","actions":"D","comment":"Stop"}]</v>
      </c>
    </row>
    <row r="4" spans="1:10" x14ac:dyDescent="0.3">
      <c r="A4" s="2">
        <f t="shared" si="0"/>
        <v>3.6</v>
      </c>
      <c r="B4" s="2">
        <f>Table1347[[#This Row],[start]]+Table1347[[#This Row],[duration]]</f>
        <v>5.0999999999999996</v>
      </c>
      <c r="C4" s="3">
        <v>1.5</v>
      </c>
      <c r="D4" s="2">
        <v>0</v>
      </c>
      <c r="E4" s="2">
        <v>0.5</v>
      </c>
      <c r="F4" s="2">
        <v>0</v>
      </c>
      <c r="G4" s="27" t="s">
        <v>0</v>
      </c>
      <c r="H4" s="1" t="s">
        <v>47</v>
      </c>
    </row>
    <row r="5" spans="1:10" x14ac:dyDescent="0.3">
      <c r="A5" s="2">
        <f t="shared" si="0"/>
        <v>5.0999999999999996</v>
      </c>
      <c r="B5" s="2">
        <f>Table1347[[#This Row],[start]]+Table1347[[#This Row],[duration]]</f>
        <v>5.6</v>
      </c>
      <c r="C5" s="3">
        <v>0.5</v>
      </c>
      <c r="D5" s="2">
        <v>0</v>
      </c>
      <c r="E5" s="2">
        <v>0.5</v>
      </c>
      <c r="F5" s="2">
        <v>0</v>
      </c>
      <c r="G5" s="27" t="s">
        <v>60</v>
      </c>
      <c r="H5" s="1" t="s">
        <v>59</v>
      </c>
    </row>
    <row r="6" spans="1:10" x14ac:dyDescent="0.3">
      <c r="A6" s="2">
        <f t="shared" si="0"/>
        <v>5.6</v>
      </c>
      <c r="B6" s="2">
        <f>Table1347[[#This Row],[start]]+Table1347[[#This Row],[duration]]</f>
        <v>6.6</v>
      </c>
      <c r="C6" s="3">
        <v>1</v>
      </c>
      <c r="D6" s="2">
        <v>0</v>
      </c>
      <c r="E6" s="2">
        <v>0.25</v>
      </c>
      <c r="F6" s="2">
        <v>0</v>
      </c>
      <c r="G6" s="27" t="s">
        <v>52</v>
      </c>
      <c r="H6" s="1" t="s">
        <v>48</v>
      </c>
    </row>
    <row r="7" spans="1:10" x14ac:dyDescent="0.3">
      <c r="A7" s="2">
        <f t="shared" si="0"/>
        <v>6.6</v>
      </c>
      <c r="B7" s="2">
        <f>Table1347[[#This Row],[start]]+Table1347[[#This Row],[duration]]</f>
        <v>9.1</v>
      </c>
      <c r="C7" s="3">
        <v>2.5</v>
      </c>
      <c r="D7" s="2">
        <v>0</v>
      </c>
      <c r="E7" s="2">
        <v>-0.5</v>
      </c>
      <c r="F7" s="2">
        <v>0</v>
      </c>
      <c r="G7" s="27" t="s">
        <v>0</v>
      </c>
      <c r="H7" s="1" t="s">
        <v>49</v>
      </c>
      <c r="J7" s="9" t="s">
        <v>11</v>
      </c>
    </row>
    <row r="8" spans="1:10" x14ac:dyDescent="0.3">
      <c r="A8" s="2">
        <f t="shared" si="0"/>
        <v>9.1</v>
      </c>
      <c r="B8" s="2">
        <f>Table1347[[#This Row],[start]]+Table1347[[#This Row],[duration]]</f>
        <v>9.6</v>
      </c>
      <c r="C8" s="3">
        <v>0.5</v>
      </c>
      <c r="D8" s="2">
        <v>0</v>
      </c>
      <c r="E8" s="2">
        <v>0</v>
      </c>
      <c r="F8" s="2">
        <v>0.5</v>
      </c>
      <c r="G8" s="27" t="s">
        <v>0</v>
      </c>
      <c r="H8" s="1" t="s">
        <v>50</v>
      </c>
      <c r="J8" s="37" t="s">
        <v>12</v>
      </c>
    </row>
    <row r="9" spans="1:10" x14ac:dyDescent="0.3">
      <c r="A9" s="2">
        <f t="shared" si="0"/>
        <v>9.6</v>
      </c>
      <c r="B9" s="2">
        <f>Table1347[[#This Row],[start]]+Table1347[[#This Row],[duration]]</f>
        <v>12.6</v>
      </c>
      <c r="C9" s="3">
        <v>3</v>
      </c>
      <c r="D9" s="2">
        <v>0</v>
      </c>
      <c r="E9" s="2">
        <v>0</v>
      </c>
      <c r="F9" s="2">
        <v>0</v>
      </c>
      <c r="G9" s="27" t="s">
        <v>44</v>
      </c>
      <c r="H9" s="1" t="s">
        <v>45</v>
      </c>
      <c r="J9" s="37"/>
    </row>
    <row r="10" spans="1:10" x14ac:dyDescent="0.3">
      <c r="A10" s="2">
        <f t="shared" si="0"/>
        <v>12.6</v>
      </c>
      <c r="B10" s="2">
        <f>Table1347[[#This Row],[start]]+Table1347[[#This Row],[duration]]</f>
        <v>13.1</v>
      </c>
      <c r="C10" s="3">
        <v>0.5</v>
      </c>
      <c r="D10" s="2">
        <v>0</v>
      </c>
      <c r="E10" s="2">
        <v>0</v>
      </c>
      <c r="F10" s="2">
        <v>-0.5</v>
      </c>
      <c r="G10" s="27" t="s">
        <v>0</v>
      </c>
      <c r="H10" s="1" t="s">
        <v>53</v>
      </c>
    </row>
    <row r="11" spans="1:10" x14ac:dyDescent="0.3">
      <c r="A11" s="2">
        <f t="shared" si="0"/>
        <v>13.1</v>
      </c>
      <c r="B11" s="2">
        <f>Table1347[[#This Row],[start]]+Table1347[[#This Row],[duration]]</f>
        <v>14.1</v>
      </c>
      <c r="C11" s="3">
        <v>1</v>
      </c>
      <c r="D11" s="2">
        <v>0.5</v>
      </c>
      <c r="E11" s="2">
        <v>-0.5</v>
      </c>
      <c r="F11" s="2">
        <v>0</v>
      </c>
      <c r="G11" s="27" t="s">
        <v>0</v>
      </c>
      <c r="H11" s="1" t="s">
        <v>63</v>
      </c>
      <c r="J11" s="9" t="s">
        <v>23</v>
      </c>
    </row>
    <row r="12" spans="1:10" x14ac:dyDescent="0.3">
      <c r="A12" s="2">
        <f t="shared" si="0"/>
        <v>14.1</v>
      </c>
      <c r="B12" s="2">
        <f>Table1347[[#This Row],[start]]+Table1347[[#This Row],[duration]]</f>
        <v>14.6</v>
      </c>
      <c r="C12" s="3">
        <v>0.5</v>
      </c>
      <c r="D12" s="2">
        <v>0</v>
      </c>
      <c r="E12" s="2">
        <v>0</v>
      </c>
      <c r="F12" s="2">
        <v>0</v>
      </c>
      <c r="G12" s="27" t="s">
        <v>34</v>
      </c>
      <c r="H12" s="1" t="s">
        <v>64</v>
      </c>
      <c r="J12" t="s">
        <v>35</v>
      </c>
    </row>
    <row r="13" spans="1:10" x14ac:dyDescent="0.3">
      <c r="A13" s="2">
        <f t="shared" si="0"/>
        <v>14.6</v>
      </c>
      <c r="B13" s="2">
        <f>Table1347[[#This Row],[start]]+Table1347[[#This Row],[duration]]</f>
        <v>15.1</v>
      </c>
      <c r="C13" s="3">
        <v>0.5</v>
      </c>
      <c r="D13" s="2">
        <v>-0.5</v>
      </c>
      <c r="E13" s="2">
        <v>0</v>
      </c>
      <c r="F13" s="2">
        <v>0</v>
      </c>
      <c r="G13" s="27" t="s">
        <v>0</v>
      </c>
      <c r="H13" s="1" t="s">
        <v>55</v>
      </c>
      <c r="J13" t="s">
        <v>36</v>
      </c>
    </row>
    <row r="14" spans="1:10" x14ac:dyDescent="0.3">
      <c r="A14" s="2">
        <f t="shared" si="0"/>
        <v>15.1</v>
      </c>
      <c r="B14" s="2">
        <f>Table1347[[#This Row],[start]]+Table1347[[#This Row],[duration]]</f>
        <v>15.6</v>
      </c>
      <c r="C14" s="3">
        <v>0.5</v>
      </c>
      <c r="D14" s="2">
        <v>0</v>
      </c>
      <c r="E14" s="2">
        <v>0</v>
      </c>
      <c r="F14" s="2">
        <v>0</v>
      </c>
      <c r="G14" s="27" t="s">
        <v>66</v>
      </c>
      <c r="H14" s="1" t="s">
        <v>65</v>
      </c>
      <c r="J14" t="s">
        <v>37</v>
      </c>
    </row>
    <row r="15" spans="1:10" x14ac:dyDescent="0.3">
      <c r="A15" s="2">
        <f t="shared" si="0"/>
        <v>15.6</v>
      </c>
      <c r="B15" s="2">
        <f>Table1347[[#This Row],[start]]+Table1347[[#This Row],[duration]]</f>
        <v>16.600000000000001</v>
      </c>
      <c r="C15" s="3">
        <v>1</v>
      </c>
      <c r="D15" s="2">
        <v>0</v>
      </c>
      <c r="E15" s="2">
        <v>0</v>
      </c>
      <c r="F15" s="2">
        <v>0</v>
      </c>
      <c r="G15" s="27" t="s">
        <v>0</v>
      </c>
      <c r="H15" s="1" t="s">
        <v>51</v>
      </c>
      <c r="J15" t="s">
        <v>38</v>
      </c>
    </row>
    <row r="16" spans="1:10" x14ac:dyDescent="0.3">
      <c r="A16" s="2">
        <f t="shared" si="0"/>
        <v>16.600000000000001</v>
      </c>
      <c r="B16" s="2" t="e">
        <f>Table1347[[#This Row],[start]]+Table1347[[#This Row],[duration]]</f>
        <v>#VALUE!</v>
      </c>
      <c r="C16" s="3"/>
      <c r="H16" s="1"/>
      <c r="J16" t="s">
        <v>24</v>
      </c>
    </row>
    <row r="17" spans="1:10" x14ac:dyDescent="0.3">
      <c r="A17" s="2" t="e">
        <f t="shared" si="0"/>
        <v>#VALUE!</v>
      </c>
      <c r="B17" s="2" t="e">
        <f>Table1347[[#This Row],[start]]+Table1347[[#This Row],[duration]]</f>
        <v>#VALUE!</v>
      </c>
      <c r="C17" s="3"/>
      <c r="H17" s="1"/>
      <c r="J17" t="s">
        <v>39</v>
      </c>
    </row>
    <row r="18" spans="1:10" x14ac:dyDescent="0.3">
      <c r="A18" s="2" t="e">
        <f t="shared" si="0"/>
        <v>#VALUE!</v>
      </c>
      <c r="B18" s="2" t="e">
        <f>Table1347[[#This Row],[start]]+Table1347[[#This Row],[duration]]</f>
        <v>#VALUE!</v>
      </c>
      <c r="C18" s="3"/>
      <c r="H18" s="1"/>
      <c r="J18" t="s">
        <v>40</v>
      </c>
    </row>
    <row r="19" spans="1:10" x14ac:dyDescent="0.3">
      <c r="A19" s="2" t="e">
        <f t="shared" si="0"/>
        <v>#VALUE!</v>
      </c>
      <c r="B19" s="2" t="e">
        <f>Table1347[[#This Row],[start]]+Table1347[[#This Row],[duration]]</f>
        <v>#VALUE!</v>
      </c>
      <c r="C19" s="3"/>
      <c r="H19" s="1"/>
      <c r="J19" t="s">
        <v>41</v>
      </c>
    </row>
    <row r="20" spans="1:10" x14ac:dyDescent="0.3">
      <c r="A20" s="2" t="e">
        <f t="shared" si="0"/>
        <v>#VALUE!</v>
      </c>
      <c r="B20" s="2" t="e">
        <f>Table1347[[#This Row],[start]]+Table1347[[#This Row],[duration]]</f>
        <v>#VALUE!</v>
      </c>
      <c r="C20" s="3"/>
      <c r="H20" s="1"/>
      <c r="J20" t="s">
        <v>42</v>
      </c>
    </row>
    <row r="21" spans="1:10" x14ac:dyDescent="0.3">
      <c r="A21" s="2" t="e">
        <f t="shared" si="0"/>
        <v>#VALUE!</v>
      </c>
      <c r="B21" s="2" t="e">
        <f>Table1347[[#This Row],[start]]+Table1347[[#This Row],[duration]]</f>
        <v>#VALUE!</v>
      </c>
      <c r="C21" s="3"/>
      <c r="H21" s="1"/>
    </row>
    <row r="22" spans="1:10" x14ac:dyDescent="0.3">
      <c r="A22" s="2" t="e">
        <f t="shared" si="0"/>
        <v>#VALUE!</v>
      </c>
      <c r="B22" s="2" t="e">
        <f>Table1347[[#This Row],[start]]+Table1347[[#This Row],[duration]]</f>
        <v>#VALUE!</v>
      </c>
      <c r="C22" s="3"/>
      <c r="H22" s="1"/>
      <c r="J22" s="36" t="s">
        <v>27</v>
      </c>
    </row>
    <row r="23" spans="1:10" x14ac:dyDescent="0.3">
      <c r="A23" s="2" t="e">
        <f t="shared" si="0"/>
        <v>#VALUE!</v>
      </c>
      <c r="B23" s="2" t="e">
        <f>Table1347[[#This Row],[start]]+Table1347[[#This Row],[duration]]</f>
        <v>#VALUE!</v>
      </c>
      <c r="C23" s="3"/>
      <c r="H23" s="1"/>
      <c r="J23" s="36" t="s">
        <v>28</v>
      </c>
    </row>
    <row r="24" spans="1:10" x14ac:dyDescent="0.3">
      <c r="A24" s="2" t="e">
        <f t="shared" si="0"/>
        <v>#VALUE!</v>
      </c>
      <c r="B24" s="2" t="e">
        <f>Table1347[[#This Row],[start]]+Table1347[[#This Row],[duration]]</f>
        <v>#VALUE!</v>
      </c>
      <c r="C24" s="3"/>
      <c r="H24" s="1"/>
      <c r="J24" s="36" t="s">
        <v>29</v>
      </c>
    </row>
    <row r="25" spans="1:10" x14ac:dyDescent="0.3">
      <c r="A25" s="2" t="e">
        <f t="shared" si="0"/>
        <v>#VALUE!</v>
      </c>
      <c r="B25" s="2" t="e">
        <f>Table1347[[#This Row],[start]]+Table1347[[#This Row],[duration]]</f>
        <v>#VALUE!</v>
      </c>
      <c r="C25" s="3"/>
      <c r="H25" s="1"/>
      <c r="J25" s="36" t="s">
        <v>30</v>
      </c>
    </row>
    <row r="26" spans="1:10" x14ac:dyDescent="0.3">
      <c r="A26" s="2" t="e">
        <f t="shared" si="0"/>
        <v>#VALUE!</v>
      </c>
      <c r="B26" s="2" t="e">
        <f>Table1347[[#This Row],[start]]+Table1347[[#This Row],[duration]]</f>
        <v>#VALUE!</v>
      </c>
      <c r="C26" s="3"/>
      <c r="H26" s="1"/>
      <c r="J26" s="36" t="s">
        <v>31</v>
      </c>
    </row>
    <row r="27" spans="1:10" x14ac:dyDescent="0.3">
      <c r="A27" s="2" t="e">
        <f t="shared" si="0"/>
        <v>#VALUE!</v>
      </c>
      <c r="B27" s="2" t="e">
        <f>Table1347[[#This Row],[start]]+Table1347[[#This Row],[duration]]</f>
        <v>#VALUE!</v>
      </c>
      <c r="C27" s="3"/>
      <c r="H27" s="1"/>
      <c r="J27" s="36" t="s">
        <v>32</v>
      </c>
    </row>
    <row r="28" spans="1:10" x14ac:dyDescent="0.3">
      <c r="A28" s="2" t="e">
        <f t="shared" si="0"/>
        <v>#VALUE!</v>
      </c>
      <c r="B28" s="2" t="e">
        <f>Table1347[[#This Row],[start]]+Table1347[[#This Row],[duration]]</f>
        <v>#VALUE!</v>
      </c>
      <c r="C28" s="3"/>
      <c r="H28" s="1"/>
    </row>
    <row r="29" spans="1:10" x14ac:dyDescent="0.3">
      <c r="A29" s="2" t="e">
        <f t="shared" si="0"/>
        <v>#VALUE!</v>
      </c>
      <c r="B29" s="2" t="e">
        <f>Table1347[[#This Row],[start]]+Table1347[[#This Row],[duration]]</f>
        <v>#VALUE!</v>
      </c>
      <c r="C29" s="3"/>
      <c r="H29" s="1"/>
    </row>
    <row r="30" spans="1:10" x14ac:dyDescent="0.3">
      <c r="A30" s="2" t="e">
        <f t="shared" si="0"/>
        <v>#VALUE!</v>
      </c>
      <c r="B30" s="2" t="e">
        <f>Table1347[[#This Row],[start]]+Table1347[[#This Row],[duration]]</f>
        <v>#VALUE!</v>
      </c>
      <c r="C30" s="3"/>
      <c r="H30" s="1"/>
    </row>
    <row r="31" spans="1:10" x14ac:dyDescent="0.3">
      <c r="A31" s="2" t="e">
        <f t="shared" si="0"/>
        <v>#VALUE!</v>
      </c>
      <c r="B31" s="2" t="e">
        <f>Table1347[[#This Row],[start]]+Table1347[[#This Row],[duration]]</f>
        <v>#VALUE!</v>
      </c>
      <c r="C31" s="3"/>
      <c r="H31" s="1"/>
    </row>
    <row r="32" spans="1:10" x14ac:dyDescent="0.3">
      <c r="A32" s="2" t="e">
        <f t="shared" si="0"/>
        <v>#VALUE!</v>
      </c>
      <c r="B32" s="2" t="e">
        <f>Table1347[[#This Row],[start]]+Table1347[[#This Row],[duration]]</f>
        <v>#VALUE!</v>
      </c>
      <c r="C32" s="3"/>
      <c r="H32" s="1"/>
    </row>
    <row r="33" spans="1:8" x14ac:dyDescent="0.3">
      <c r="A33" s="2" t="e">
        <f t="shared" si="0"/>
        <v>#VALUE!</v>
      </c>
      <c r="B33" s="2" t="e">
        <f>Table1347[[#This Row],[start]]+Table1347[[#This Row],[duration]]</f>
        <v>#VALUE!</v>
      </c>
      <c r="C33" s="3"/>
      <c r="H33" s="1"/>
    </row>
    <row r="34" spans="1:8" x14ac:dyDescent="0.3">
      <c r="A34" s="2" t="e">
        <f t="shared" si="0"/>
        <v>#VALUE!</v>
      </c>
      <c r="B34" s="2" t="e">
        <f>Table1347[[#This Row],[start]]+Table1347[[#This Row],[duration]]</f>
        <v>#VALUE!</v>
      </c>
      <c r="C34" s="3"/>
      <c r="H34" s="1"/>
    </row>
    <row r="35" spans="1:8" x14ac:dyDescent="0.3">
      <c r="A35" s="2" t="e">
        <f t="shared" si="0"/>
        <v>#VALUE!</v>
      </c>
      <c r="B35" s="2" t="e">
        <f>Table1347[[#This Row],[start]]+Table1347[[#This Row],[duration]]</f>
        <v>#VALUE!</v>
      </c>
      <c r="C35" s="3"/>
      <c r="H35" s="1"/>
    </row>
    <row r="36" spans="1:8" x14ac:dyDescent="0.3">
      <c r="A36" s="2" t="e">
        <f t="shared" si="0"/>
        <v>#VALUE!</v>
      </c>
      <c r="B36" s="2" t="e">
        <f>Table1347[[#This Row],[start]]+Table1347[[#This Row],[duration]]</f>
        <v>#VALUE!</v>
      </c>
      <c r="C36" s="3"/>
      <c r="H36" s="1"/>
    </row>
    <row r="37" spans="1:8" x14ac:dyDescent="0.3">
      <c r="A37" s="2" t="e">
        <f t="shared" si="0"/>
        <v>#VALUE!</v>
      </c>
      <c r="B37" s="2" t="e">
        <f>Table1347[[#This Row],[start]]+Table1347[[#This Row],[duration]]</f>
        <v>#VALUE!</v>
      </c>
      <c r="C37" s="3"/>
      <c r="H37" s="1"/>
    </row>
    <row r="38" spans="1:8" x14ac:dyDescent="0.3">
      <c r="A38" s="2" t="e">
        <f t="shared" si="0"/>
        <v>#VALUE!</v>
      </c>
      <c r="B38" s="2" t="e">
        <f>Table1347[[#This Row],[start]]+Table1347[[#This Row],[duration]]</f>
        <v>#VALUE!</v>
      </c>
      <c r="C38" s="3"/>
      <c r="H38" s="1"/>
    </row>
    <row r="39" spans="1:8" x14ac:dyDescent="0.3">
      <c r="A39" s="2" t="e">
        <f t="shared" si="0"/>
        <v>#VALUE!</v>
      </c>
      <c r="B39" s="2" t="e">
        <f>Table1347[[#This Row],[start]]+Table1347[[#This Row],[duration]]</f>
        <v>#VALUE!</v>
      </c>
      <c r="C39" s="3"/>
      <c r="H39" s="1"/>
    </row>
    <row r="40" spans="1:8" x14ac:dyDescent="0.3">
      <c r="A40" s="2" t="e">
        <f t="shared" si="0"/>
        <v>#VALUE!</v>
      </c>
      <c r="B40" s="2" t="e">
        <f>Table1347[[#This Row],[start]]+Table1347[[#This Row],[duration]]</f>
        <v>#VALUE!</v>
      </c>
      <c r="C40" s="3"/>
      <c r="H40" s="1"/>
    </row>
    <row r="41" spans="1:8" x14ac:dyDescent="0.3">
      <c r="A41" s="2" t="e">
        <f t="shared" si="0"/>
        <v>#VALUE!</v>
      </c>
      <c r="B41" s="2" t="e">
        <f>Table1347[[#This Row],[start]]+Table1347[[#This Row],[duration]]</f>
        <v>#VALUE!</v>
      </c>
      <c r="C41" s="3"/>
      <c r="H41" s="1"/>
    </row>
    <row r="42" spans="1:8" x14ac:dyDescent="0.3">
      <c r="A42" s="2" t="e">
        <f t="shared" si="0"/>
        <v>#VALUE!</v>
      </c>
      <c r="B42" s="2" t="e">
        <f>Table1347[[#This Row],[start]]+Table1347[[#This Row],[duration]]</f>
        <v>#VALUE!</v>
      </c>
      <c r="C42" s="3"/>
      <c r="H42" s="1"/>
    </row>
    <row r="43" spans="1:8" x14ac:dyDescent="0.3">
      <c r="A43" s="2" t="e">
        <f t="shared" si="0"/>
        <v>#VALUE!</v>
      </c>
      <c r="B43" s="2" t="e">
        <f>Table1347[[#This Row],[start]]+Table1347[[#This Row],[duration]]</f>
        <v>#VALUE!</v>
      </c>
      <c r="C43" s="3"/>
      <c r="H43" s="1"/>
    </row>
    <row r="44" spans="1:8" x14ac:dyDescent="0.3">
      <c r="A44" s="2" t="e">
        <f t="shared" si="0"/>
        <v>#VALUE!</v>
      </c>
      <c r="B44" s="2" t="e">
        <f>Table1347[[#This Row],[start]]+Table1347[[#This Row],[duration]]</f>
        <v>#VALUE!</v>
      </c>
      <c r="C44" s="3"/>
      <c r="H44" s="1"/>
    </row>
    <row r="45" spans="1:8" x14ac:dyDescent="0.3">
      <c r="A45" s="2" t="e">
        <f t="shared" si="0"/>
        <v>#VALUE!</v>
      </c>
      <c r="B45" s="2" t="e">
        <f>Table1347[[#This Row],[start]]+Table1347[[#This Row],[duration]]</f>
        <v>#VALUE!</v>
      </c>
      <c r="C45" s="3"/>
      <c r="H45" s="1"/>
    </row>
    <row r="46" spans="1:8" x14ac:dyDescent="0.3">
      <c r="A46" s="2" t="e">
        <f t="shared" si="0"/>
        <v>#VALUE!</v>
      </c>
      <c r="B46" s="2" t="e">
        <f>Table1347[[#This Row],[start]]+Table1347[[#This Row],[duration]]</f>
        <v>#VALUE!</v>
      </c>
      <c r="C46" s="3"/>
      <c r="H46" s="1"/>
    </row>
    <row r="47" spans="1:8" x14ac:dyDescent="0.3">
      <c r="A47" s="2" t="e">
        <f t="shared" si="0"/>
        <v>#VALUE!</v>
      </c>
      <c r="B47" s="2" t="e">
        <f>Table1347[[#This Row],[start]]+Table1347[[#This Row],[duration]]</f>
        <v>#VALUE!</v>
      </c>
      <c r="C47" s="3"/>
      <c r="H47" s="1"/>
    </row>
    <row r="48" spans="1:8" x14ac:dyDescent="0.3">
      <c r="A48" s="2" t="e">
        <f t="shared" si="0"/>
        <v>#VALUE!</v>
      </c>
      <c r="B48" s="2" t="e">
        <f>Table1347[[#This Row],[start]]+Table1347[[#This Row],[duration]]</f>
        <v>#VALUE!</v>
      </c>
      <c r="C48" s="3"/>
      <c r="H48" s="1"/>
    </row>
    <row r="49" spans="1:8" x14ac:dyDescent="0.3">
      <c r="A49" s="2" t="e">
        <f t="shared" si="0"/>
        <v>#VALUE!</v>
      </c>
      <c r="B49" s="2" t="e">
        <f>Table1347[[#This Row],[start]]+Table1347[[#This Row],[duration]]</f>
        <v>#VALUE!</v>
      </c>
      <c r="C49" s="3"/>
      <c r="H49" s="1"/>
    </row>
    <row r="50" spans="1:8" x14ac:dyDescent="0.3">
      <c r="A50" s="2" t="e">
        <f t="shared" si="0"/>
        <v>#VALUE!</v>
      </c>
      <c r="B50" s="2" t="e">
        <f>Table1347[[#This Row],[start]]+Table1347[[#This Row],[duration]]</f>
        <v>#VALUE!</v>
      </c>
      <c r="C50" s="3"/>
      <c r="H50" s="1"/>
    </row>
  </sheetData>
  <mergeCells count="1">
    <mergeCell ref="J8:J9"/>
  </mergeCell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50"/>
  <sheetViews>
    <sheetView showGridLines="0" workbookViewId="0">
      <selection activeCell="C10" sqref="C10"/>
    </sheetView>
  </sheetViews>
  <sheetFormatPr defaultColWidth="8.88671875" defaultRowHeight="14.4" x14ac:dyDescent="0.3"/>
  <cols>
    <col min="1" max="1" width="11.109375" style="2" customWidth="1"/>
    <col min="2" max="2" width="8.6640625" style="2" customWidth="1"/>
    <col min="3" max="3" width="13.109375" style="2" customWidth="1"/>
    <col min="4" max="5" width="8.88671875" style="2"/>
    <col min="6" max="6" width="11" style="2" bestFit="1" customWidth="1"/>
    <col min="7" max="7" width="9.6640625" style="27" customWidth="1"/>
    <col min="8" max="8" width="28.6640625" customWidth="1"/>
    <col min="10" max="10" width="80.6640625" customWidth="1"/>
  </cols>
  <sheetData>
    <row r="1" spans="1:10" x14ac:dyDescent="0.3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7" t="s">
        <v>8</v>
      </c>
      <c r="H1" s="1" t="s">
        <v>9</v>
      </c>
    </row>
    <row r="2" spans="1:10" x14ac:dyDescent="0.3">
      <c r="A2" s="3">
        <v>0.1</v>
      </c>
      <c r="B2" s="2">
        <f>Table1345[[#This Row],[start]]+Table1345[[#This Row],[duration]]</f>
        <v>3.1</v>
      </c>
      <c r="C2" s="3">
        <v>3</v>
      </c>
      <c r="D2" s="2">
        <v>0</v>
      </c>
      <c r="E2" s="2">
        <v>0</v>
      </c>
      <c r="F2" s="2">
        <v>0</v>
      </c>
      <c r="G2" s="27" t="s">
        <v>44</v>
      </c>
      <c r="H2" s="1" t="s">
        <v>45</v>
      </c>
      <c r="J2" s="8" t="s">
        <v>10</v>
      </c>
    </row>
    <row r="3" spans="1:10" x14ac:dyDescent="0.3">
      <c r="A3" s="2">
        <f t="shared" ref="A3:A50" si="0">B2</f>
        <v>3.1</v>
      </c>
      <c r="B3" s="2">
        <f>Table1345[[#This Row],[start]]+Table1345[[#This Row],[duration]]</f>
        <v>4.0999999999999996</v>
      </c>
      <c r="C3" s="3">
        <v>1</v>
      </c>
      <c r="D3" s="2">
        <v>0</v>
      </c>
      <c r="E3" s="2">
        <v>-0.5</v>
      </c>
      <c r="F3" s="2">
        <v>0</v>
      </c>
      <c r="G3" s="27" t="s">
        <v>0</v>
      </c>
      <c r="H3" s="1" t="s">
        <v>55</v>
      </c>
      <c r="J3" t="str" cm="1">
        <f t="array" ref="J3">ExcelToJSON(Table1345[#All])</f>
        <v>[{"start":"0.1","end":"3.1","duration":"3","x":"0","y":"0","rotation":"0","actions":"S","comment":"Shoot"},{"start":"3.1","end":"4.1","duration":"1","x":"0","y":"-0.5","rotation":"0","actions":"D","comment":"Drive backwards"},{"start":"4.1","end":"7.1","duration":"3","x":"-0.5","y":"0","rotation":"0","actions":"D","comment":"Drive right"},{"start":"7.1","end":"8.1","duration":"1","x":"0","y":"-0.5","rotation":"0","actions":"D","comment":"Drive back to HP"},{"start":"8.1","end":"11.1","duration":"3","x":"0","y":"0","rotation":"0","actions":"D","comment":"Receive balls"},{"start":"11.1","end":"13.1","duration":"2","x":"0","y":"0.5","rotation":"0","actions":"D","comment":"Drive forward"},{"start":"13.1","end":"16.1","duration":"3","x":"0.5","y":"0","rotation":"0","actions":"D","comment":"Drive left"},{"start":"16.1","end":"19.1","duration":"3","x":"0","y":"0","rotation":"0","actions":"S","comment":"Shoot"},{"start":"19.1","end":"20.1","duration":"1","x":"0","y":"0","rotation":"0","actions":"D","comment":"Stop everything"}]</v>
      </c>
    </row>
    <row r="4" spans="1:10" x14ac:dyDescent="0.3">
      <c r="A4" s="2">
        <f t="shared" si="0"/>
        <v>4.0999999999999996</v>
      </c>
      <c r="B4" s="2">
        <f>Table1345[[#This Row],[start]]+Table1345[[#This Row],[duration]]</f>
        <v>7.1</v>
      </c>
      <c r="C4" s="3">
        <v>3</v>
      </c>
      <c r="D4" s="2">
        <v>-0.5</v>
      </c>
      <c r="E4" s="2">
        <v>0</v>
      </c>
      <c r="F4" s="2">
        <v>0</v>
      </c>
      <c r="G4" s="27" t="s">
        <v>0</v>
      </c>
      <c r="H4" s="1" t="s">
        <v>56</v>
      </c>
    </row>
    <row r="5" spans="1:10" x14ac:dyDescent="0.3">
      <c r="A5" s="2">
        <f t="shared" si="0"/>
        <v>7.1</v>
      </c>
      <c r="B5" s="2">
        <f>Table1345[[#This Row],[start]]+Table1345[[#This Row],[duration]]</f>
        <v>8.1</v>
      </c>
      <c r="C5" s="3">
        <v>1</v>
      </c>
      <c r="D5" s="2">
        <v>0</v>
      </c>
      <c r="E5" s="2">
        <v>-0.5</v>
      </c>
      <c r="F5" s="2">
        <v>0</v>
      </c>
      <c r="G5" s="27" t="s">
        <v>0</v>
      </c>
      <c r="H5" s="1" t="s">
        <v>57</v>
      </c>
    </row>
    <row r="6" spans="1:10" x14ac:dyDescent="0.3">
      <c r="A6" s="2">
        <f t="shared" si="0"/>
        <v>8.1</v>
      </c>
      <c r="B6" s="2">
        <f>Table1345[[#This Row],[start]]+Table1345[[#This Row],[duration]]</f>
        <v>11.1</v>
      </c>
      <c r="C6" s="3">
        <v>3</v>
      </c>
      <c r="D6" s="2">
        <v>0</v>
      </c>
      <c r="E6" s="2">
        <v>0</v>
      </c>
      <c r="F6" s="2">
        <v>0</v>
      </c>
      <c r="G6" s="27" t="s">
        <v>0</v>
      </c>
      <c r="H6" s="1" t="s">
        <v>58</v>
      </c>
    </row>
    <row r="7" spans="1:10" x14ac:dyDescent="0.3">
      <c r="A7" s="2">
        <f t="shared" si="0"/>
        <v>11.1</v>
      </c>
      <c r="B7" s="2">
        <f>Table1345[[#This Row],[start]]+Table1345[[#This Row],[duration]]</f>
        <v>13.1</v>
      </c>
      <c r="C7" s="3">
        <v>2</v>
      </c>
      <c r="D7" s="2">
        <v>0</v>
      </c>
      <c r="E7" s="2">
        <v>0.5</v>
      </c>
      <c r="F7" s="2">
        <v>0</v>
      </c>
      <c r="G7" s="27" t="s">
        <v>0</v>
      </c>
      <c r="H7" s="1" t="s">
        <v>33</v>
      </c>
      <c r="J7" s="9" t="s">
        <v>11</v>
      </c>
    </row>
    <row r="8" spans="1:10" x14ac:dyDescent="0.3">
      <c r="A8" s="2">
        <f t="shared" si="0"/>
        <v>13.1</v>
      </c>
      <c r="B8" s="2">
        <f>Table1345[[#This Row],[start]]+Table1345[[#This Row],[duration]]</f>
        <v>16.100000000000001</v>
      </c>
      <c r="C8" s="3">
        <v>3</v>
      </c>
      <c r="D8" s="2">
        <v>0.5</v>
      </c>
      <c r="E8" s="2">
        <v>0</v>
      </c>
      <c r="F8" s="2">
        <v>0</v>
      </c>
      <c r="G8" s="27" t="s">
        <v>0</v>
      </c>
      <c r="H8" s="1" t="s">
        <v>61</v>
      </c>
      <c r="J8" s="37" t="s">
        <v>12</v>
      </c>
    </row>
    <row r="9" spans="1:10" x14ac:dyDescent="0.3">
      <c r="A9" s="2">
        <f t="shared" si="0"/>
        <v>16.100000000000001</v>
      </c>
      <c r="B9" s="2">
        <f>Table1345[[#This Row],[start]]+Table1345[[#This Row],[duration]]</f>
        <v>19.100000000000001</v>
      </c>
      <c r="C9" s="3">
        <v>3</v>
      </c>
      <c r="D9" s="2">
        <v>0</v>
      </c>
      <c r="E9" s="2">
        <v>0</v>
      </c>
      <c r="F9" s="2">
        <v>0</v>
      </c>
      <c r="G9" s="27" t="s">
        <v>44</v>
      </c>
      <c r="H9" s="1" t="s">
        <v>45</v>
      </c>
      <c r="J9" s="37"/>
    </row>
    <row r="10" spans="1:10" x14ac:dyDescent="0.3">
      <c r="A10" s="2">
        <f t="shared" si="0"/>
        <v>19.100000000000001</v>
      </c>
      <c r="B10" s="2">
        <f>Table1345[[#This Row],[start]]+Table1345[[#This Row],[duration]]</f>
        <v>20.100000000000001</v>
      </c>
      <c r="C10" s="3">
        <v>1</v>
      </c>
      <c r="D10" s="2">
        <v>0</v>
      </c>
      <c r="E10" s="2">
        <v>0</v>
      </c>
      <c r="F10" s="2">
        <v>0</v>
      </c>
      <c r="G10" s="27" t="s">
        <v>0</v>
      </c>
      <c r="H10" s="1" t="s">
        <v>62</v>
      </c>
    </row>
    <row r="11" spans="1:10" x14ac:dyDescent="0.3">
      <c r="A11" s="2">
        <f t="shared" si="0"/>
        <v>20.100000000000001</v>
      </c>
      <c r="B11" s="2" t="e">
        <f>Table1345[[#This Row],[start]]+Table1345[[#This Row],[duration]]</f>
        <v>#VALUE!</v>
      </c>
      <c r="C11" s="3"/>
      <c r="H11" s="1"/>
      <c r="J11" s="9" t="s">
        <v>23</v>
      </c>
    </row>
    <row r="12" spans="1:10" x14ac:dyDescent="0.3">
      <c r="A12" s="2" t="e">
        <f t="shared" si="0"/>
        <v>#VALUE!</v>
      </c>
      <c r="B12" s="2" t="e">
        <f>Table1345[[#This Row],[start]]+Table1345[[#This Row],[duration]]</f>
        <v>#VALUE!</v>
      </c>
      <c r="C12" s="3"/>
      <c r="H12" s="1"/>
      <c r="J12" t="s">
        <v>35</v>
      </c>
    </row>
    <row r="13" spans="1:10" x14ac:dyDescent="0.3">
      <c r="A13" s="2" t="e">
        <f t="shared" si="0"/>
        <v>#VALUE!</v>
      </c>
      <c r="B13" s="2" t="e">
        <f>Table1345[[#This Row],[start]]+Table1345[[#This Row],[duration]]</f>
        <v>#VALUE!</v>
      </c>
      <c r="C13" s="3"/>
      <c r="H13" s="1"/>
      <c r="J13" t="s">
        <v>36</v>
      </c>
    </row>
    <row r="14" spans="1:10" x14ac:dyDescent="0.3">
      <c r="A14" s="2" t="e">
        <f t="shared" si="0"/>
        <v>#VALUE!</v>
      </c>
      <c r="B14" s="2" t="e">
        <f>Table1345[[#This Row],[start]]+Table1345[[#This Row],[duration]]</f>
        <v>#VALUE!</v>
      </c>
      <c r="C14" s="3"/>
      <c r="H14" s="1"/>
      <c r="J14" t="s">
        <v>37</v>
      </c>
    </row>
    <row r="15" spans="1:10" x14ac:dyDescent="0.3">
      <c r="A15" s="2" t="e">
        <f t="shared" si="0"/>
        <v>#VALUE!</v>
      </c>
      <c r="B15" s="2" t="e">
        <f>Table1345[[#This Row],[start]]+Table1345[[#This Row],[duration]]</f>
        <v>#VALUE!</v>
      </c>
      <c r="C15" s="3"/>
      <c r="H15" s="1"/>
      <c r="J15" t="s">
        <v>38</v>
      </c>
    </row>
    <row r="16" spans="1:10" x14ac:dyDescent="0.3">
      <c r="A16" s="2" t="e">
        <f t="shared" si="0"/>
        <v>#VALUE!</v>
      </c>
      <c r="B16" s="2" t="e">
        <f>Table1345[[#This Row],[start]]+Table1345[[#This Row],[duration]]</f>
        <v>#VALUE!</v>
      </c>
      <c r="C16" s="3"/>
      <c r="H16" s="1"/>
      <c r="J16" t="s">
        <v>24</v>
      </c>
    </row>
    <row r="17" spans="1:10" x14ac:dyDescent="0.3">
      <c r="A17" s="2" t="e">
        <f t="shared" si="0"/>
        <v>#VALUE!</v>
      </c>
      <c r="B17" s="2" t="e">
        <f>Table1345[[#This Row],[start]]+Table1345[[#This Row],[duration]]</f>
        <v>#VALUE!</v>
      </c>
      <c r="C17" s="3"/>
      <c r="H17" s="1"/>
      <c r="J17" t="s">
        <v>39</v>
      </c>
    </row>
    <row r="18" spans="1:10" x14ac:dyDescent="0.3">
      <c r="A18" s="2" t="e">
        <f t="shared" si="0"/>
        <v>#VALUE!</v>
      </c>
      <c r="B18" s="2" t="e">
        <f>Table1345[[#This Row],[start]]+Table1345[[#This Row],[duration]]</f>
        <v>#VALUE!</v>
      </c>
      <c r="C18" s="3"/>
      <c r="H18" s="1"/>
      <c r="J18" t="s">
        <v>40</v>
      </c>
    </row>
    <row r="19" spans="1:10" x14ac:dyDescent="0.3">
      <c r="A19" s="2" t="e">
        <f t="shared" si="0"/>
        <v>#VALUE!</v>
      </c>
      <c r="B19" s="2" t="e">
        <f>Table1345[[#This Row],[start]]+Table1345[[#This Row],[duration]]</f>
        <v>#VALUE!</v>
      </c>
      <c r="C19" s="3"/>
      <c r="H19" s="1"/>
      <c r="J19" t="s">
        <v>41</v>
      </c>
    </row>
    <row r="20" spans="1:10" x14ac:dyDescent="0.3">
      <c r="A20" s="2" t="e">
        <f t="shared" si="0"/>
        <v>#VALUE!</v>
      </c>
      <c r="B20" s="2" t="e">
        <f>Table1345[[#This Row],[start]]+Table1345[[#This Row],[duration]]</f>
        <v>#VALUE!</v>
      </c>
      <c r="C20" s="3"/>
      <c r="H20" s="1"/>
      <c r="J20" t="s">
        <v>42</v>
      </c>
    </row>
    <row r="21" spans="1:10" x14ac:dyDescent="0.3">
      <c r="A21" s="2" t="e">
        <f t="shared" si="0"/>
        <v>#VALUE!</v>
      </c>
      <c r="B21" s="2" t="e">
        <f>Table1345[[#This Row],[start]]+Table1345[[#This Row],[duration]]</f>
        <v>#VALUE!</v>
      </c>
      <c r="C21" s="3"/>
      <c r="H21" s="1"/>
    </row>
    <row r="22" spans="1:10" x14ac:dyDescent="0.3">
      <c r="A22" s="2" t="e">
        <f t="shared" si="0"/>
        <v>#VALUE!</v>
      </c>
      <c r="B22" s="2" t="e">
        <f>Table1345[[#This Row],[start]]+Table1345[[#This Row],[duration]]</f>
        <v>#VALUE!</v>
      </c>
      <c r="C22" s="3"/>
      <c r="H22" s="1"/>
      <c r="J22" s="36" t="s">
        <v>27</v>
      </c>
    </row>
    <row r="23" spans="1:10" x14ac:dyDescent="0.3">
      <c r="A23" s="2" t="e">
        <f t="shared" si="0"/>
        <v>#VALUE!</v>
      </c>
      <c r="B23" s="2" t="e">
        <f>Table1345[[#This Row],[start]]+Table1345[[#This Row],[duration]]</f>
        <v>#VALUE!</v>
      </c>
      <c r="C23" s="3"/>
      <c r="H23" s="1"/>
      <c r="J23" s="36" t="s">
        <v>28</v>
      </c>
    </row>
    <row r="24" spans="1:10" x14ac:dyDescent="0.3">
      <c r="A24" s="2" t="e">
        <f t="shared" si="0"/>
        <v>#VALUE!</v>
      </c>
      <c r="B24" s="2" t="e">
        <f>Table1345[[#This Row],[start]]+Table1345[[#This Row],[duration]]</f>
        <v>#VALUE!</v>
      </c>
      <c r="C24" s="3"/>
      <c r="H24" s="1"/>
      <c r="J24" s="36" t="s">
        <v>29</v>
      </c>
    </row>
    <row r="25" spans="1:10" x14ac:dyDescent="0.3">
      <c r="A25" s="2" t="e">
        <f t="shared" si="0"/>
        <v>#VALUE!</v>
      </c>
      <c r="B25" s="2" t="e">
        <f>Table1345[[#This Row],[start]]+Table1345[[#This Row],[duration]]</f>
        <v>#VALUE!</v>
      </c>
      <c r="C25" s="3"/>
      <c r="H25" s="1"/>
      <c r="J25" s="36" t="s">
        <v>30</v>
      </c>
    </row>
    <row r="26" spans="1:10" x14ac:dyDescent="0.3">
      <c r="A26" s="2" t="e">
        <f t="shared" si="0"/>
        <v>#VALUE!</v>
      </c>
      <c r="B26" s="2" t="e">
        <f>Table1345[[#This Row],[start]]+Table1345[[#This Row],[duration]]</f>
        <v>#VALUE!</v>
      </c>
      <c r="C26" s="3"/>
      <c r="H26" s="1"/>
      <c r="J26" s="36" t="s">
        <v>31</v>
      </c>
    </row>
    <row r="27" spans="1:10" x14ac:dyDescent="0.3">
      <c r="A27" s="2" t="e">
        <f t="shared" si="0"/>
        <v>#VALUE!</v>
      </c>
      <c r="B27" s="2" t="e">
        <f>Table1345[[#This Row],[start]]+Table1345[[#This Row],[duration]]</f>
        <v>#VALUE!</v>
      </c>
      <c r="C27" s="3"/>
      <c r="H27" s="1"/>
      <c r="J27" s="36" t="s">
        <v>32</v>
      </c>
    </row>
    <row r="28" spans="1:10" x14ac:dyDescent="0.3">
      <c r="A28" s="2" t="e">
        <f t="shared" si="0"/>
        <v>#VALUE!</v>
      </c>
      <c r="B28" s="2" t="e">
        <f>Table1345[[#This Row],[start]]+Table1345[[#This Row],[duration]]</f>
        <v>#VALUE!</v>
      </c>
      <c r="C28" s="3"/>
      <c r="H28" s="1"/>
    </row>
    <row r="29" spans="1:10" x14ac:dyDescent="0.3">
      <c r="A29" s="2" t="e">
        <f t="shared" si="0"/>
        <v>#VALUE!</v>
      </c>
      <c r="B29" s="2" t="e">
        <f>Table1345[[#This Row],[start]]+Table1345[[#This Row],[duration]]</f>
        <v>#VALUE!</v>
      </c>
      <c r="C29" s="3"/>
      <c r="H29" s="1"/>
    </row>
    <row r="30" spans="1:10" x14ac:dyDescent="0.3">
      <c r="A30" s="2" t="e">
        <f t="shared" si="0"/>
        <v>#VALUE!</v>
      </c>
      <c r="B30" s="2" t="e">
        <f>Table1345[[#This Row],[start]]+Table1345[[#This Row],[duration]]</f>
        <v>#VALUE!</v>
      </c>
      <c r="C30" s="3"/>
      <c r="H30" s="1"/>
    </row>
    <row r="31" spans="1:10" x14ac:dyDescent="0.3">
      <c r="A31" s="2" t="e">
        <f t="shared" si="0"/>
        <v>#VALUE!</v>
      </c>
      <c r="B31" s="2" t="e">
        <f>Table1345[[#This Row],[start]]+Table1345[[#This Row],[duration]]</f>
        <v>#VALUE!</v>
      </c>
      <c r="C31" s="3"/>
      <c r="H31" s="1"/>
    </row>
    <row r="32" spans="1:10" x14ac:dyDescent="0.3">
      <c r="A32" s="2" t="e">
        <f t="shared" si="0"/>
        <v>#VALUE!</v>
      </c>
      <c r="B32" s="2" t="e">
        <f>Table1345[[#This Row],[start]]+Table1345[[#This Row],[duration]]</f>
        <v>#VALUE!</v>
      </c>
      <c r="C32" s="3"/>
      <c r="H32" s="1"/>
    </row>
    <row r="33" spans="1:8" x14ac:dyDescent="0.3">
      <c r="A33" s="2" t="e">
        <f t="shared" si="0"/>
        <v>#VALUE!</v>
      </c>
      <c r="B33" s="2" t="e">
        <f>Table1345[[#This Row],[start]]+Table1345[[#This Row],[duration]]</f>
        <v>#VALUE!</v>
      </c>
      <c r="C33" s="3"/>
      <c r="H33" s="1"/>
    </row>
    <row r="34" spans="1:8" x14ac:dyDescent="0.3">
      <c r="A34" s="2" t="e">
        <f t="shared" si="0"/>
        <v>#VALUE!</v>
      </c>
      <c r="B34" s="2" t="e">
        <f>Table1345[[#This Row],[start]]+Table1345[[#This Row],[duration]]</f>
        <v>#VALUE!</v>
      </c>
      <c r="C34" s="3"/>
      <c r="H34" s="1"/>
    </row>
    <row r="35" spans="1:8" x14ac:dyDescent="0.3">
      <c r="A35" s="2" t="e">
        <f t="shared" si="0"/>
        <v>#VALUE!</v>
      </c>
      <c r="B35" s="2" t="e">
        <f>Table1345[[#This Row],[start]]+Table1345[[#This Row],[duration]]</f>
        <v>#VALUE!</v>
      </c>
      <c r="C35" s="3"/>
      <c r="H35" s="1"/>
    </row>
    <row r="36" spans="1:8" x14ac:dyDescent="0.3">
      <c r="A36" s="2" t="e">
        <f t="shared" si="0"/>
        <v>#VALUE!</v>
      </c>
      <c r="B36" s="2" t="e">
        <f>Table1345[[#This Row],[start]]+Table1345[[#This Row],[duration]]</f>
        <v>#VALUE!</v>
      </c>
      <c r="C36" s="3"/>
      <c r="H36" s="1"/>
    </row>
    <row r="37" spans="1:8" x14ac:dyDescent="0.3">
      <c r="A37" s="2" t="e">
        <f t="shared" si="0"/>
        <v>#VALUE!</v>
      </c>
      <c r="B37" s="2" t="e">
        <f>Table1345[[#This Row],[start]]+Table1345[[#This Row],[duration]]</f>
        <v>#VALUE!</v>
      </c>
      <c r="C37" s="3"/>
      <c r="H37" s="1"/>
    </row>
    <row r="38" spans="1:8" x14ac:dyDescent="0.3">
      <c r="A38" s="2" t="e">
        <f t="shared" si="0"/>
        <v>#VALUE!</v>
      </c>
      <c r="B38" s="2" t="e">
        <f>Table1345[[#This Row],[start]]+Table1345[[#This Row],[duration]]</f>
        <v>#VALUE!</v>
      </c>
      <c r="C38" s="3"/>
      <c r="H38" s="1"/>
    </row>
    <row r="39" spans="1:8" x14ac:dyDescent="0.3">
      <c r="A39" s="2" t="e">
        <f t="shared" si="0"/>
        <v>#VALUE!</v>
      </c>
      <c r="B39" s="2" t="e">
        <f>Table1345[[#This Row],[start]]+Table1345[[#This Row],[duration]]</f>
        <v>#VALUE!</v>
      </c>
      <c r="C39" s="3"/>
      <c r="H39" s="1"/>
    </row>
    <row r="40" spans="1:8" x14ac:dyDescent="0.3">
      <c r="A40" s="2" t="e">
        <f t="shared" si="0"/>
        <v>#VALUE!</v>
      </c>
      <c r="B40" s="2" t="e">
        <f>Table1345[[#This Row],[start]]+Table1345[[#This Row],[duration]]</f>
        <v>#VALUE!</v>
      </c>
      <c r="C40" s="3"/>
      <c r="H40" s="1"/>
    </row>
    <row r="41" spans="1:8" x14ac:dyDescent="0.3">
      <c r="A41" s="2" t="e">
        <f t="shared" si="0"/>
        <v>#VALUE!</v>
      </c>
      <c r="B41" s="2" t="e">
        <f>Table1345[[#This Row],[start]]+Table1345[[#This Row],[duration]]</f>
        <v>#VALUE!</v>
      </c>
      <c r="C41" s="3"/>
      <c r="H41" s="1"/>
    </row>
    <row r="42" spans="1:8" x14ac:dyDescent="0.3">
      <c r="A42" s="2" t="e">
        <f t="shared" si="0"/>
        <v>#VALUE!</v>
      </c>
      <c r="B42" s="2" t="e">
        <f>Table1345[[#This Row],[start]]+Table1345[[#This Row],[duration]]</f>
        <v>#VALUE!</v>
      </c>
      <c r="C42" s="3"/>
      <c r="H42" s="1"/>
    </row>
    <row r="43" spans="1:8" x14ac:dyDescent="0.3">
      <c r="A43" s="2" t="e">
        <f t="shared" si="0"/>
        <v>#VALUE!</v>
      </c>
      <c r="B43" s="2" t="e">
        <f>Table1345[[#This Row],[start]]+Table1345[[#This Row],[duration]]</f>
        <v>#VALUE!</v>
      </c>
      <c r="C43" s="3"/>
      <c r="H43" s="1"/>
    </row>
    <row r="44" spans="1:8" x14ac:dyDescent="0.3">
      <c r="A44" s="2" t="e">
        <f t="shared" si="0"/>
        <v>#VALUE!</v>
      </c>
      <c r="B44" s="2" t="e">
        <f>Table1345[[#This Row],[start]]+Table1345[[#This Row],[duration]]</f>
        <v>#VALUE!</v>
      </c>
      <c r="C44" s="3"/>
      <c r="H44" s="1"/>
    </row>
    <row r="45" spans="1:8" x14ac:dyDescent="0.3">
      <c r="A45" s="2" t="e">
        <f t="shared" si="0"/>
        <v>#VALUE!</v>
      </c>
      <c r="B45" s="2" t="e">
        <f>Table1345[[#This Row],[start]]+Table1345[[#This Row],[duration]]</f>
        <v>#VALUE!</v>
      </c>
      <c r="C45" s="3"/>
      <c r="H45" s="1"/>
    </row>
    <row r="46" spans="1:8" x14ac:dyDescent="0.3">
      <c r="A46" s="2" t="e">
        <f t="shared" si="0"/>
        <v>#VALUE!</v>
      </c>
      <c r="B46" s="2" t="e">
        <f>Table1345[[#This Row],[start]]+Table1345[[#This Row],[duration]]</f>
        <v>#VALUE!</v>
      </c>
      <c r="C46" s="3"/>
      <c r="H46" s="1"/>
    </row>
    <row r="47" spans="1:8" x14ac:dyDescent="0.3">
      <c r="A47" s="2" t="e">
        <f t="shared" si="0"/>
        <v>#VALUE!</v>
      </c>
      <c r="B47" s="2" t="e">
        <f>Table1345[[#This Row],[start]]+Table1345[[#This Row],[duration]]</f>
        <v>#VALUE!</v>
      </c>
      <c r="C47" s="3"/>
      <c r="H47" s="1"/>
    </row>
    <row r="48" spans="1:8" x14ac:dyDescent="0.3">
      <c r="A48" s="2" t="e">
        <f t="shared" si="0"/>
        <v>#VALUE!</v>
      </c>
      <c r="B48" s="2" t="e">
        <f>Table1345[[#This Row],[start]]+Table1345[[#This Row],[duration]]</f>
        <v>#VALUE!</v>
      </c>
      <c r="C48" s="3"/>
      <c r="H48" s="1"/>
    </row>
    <row r="49" spans="1:8" x14ac:dyDescent="0.3">
      <c r="A49" s="2" t="e">
        <f t="shared" si="0"/>
        <v>#VALUE!</v>
      </c>
      <c r="B49" s="2" t="e">
        <f>Table1345[[#This Row],[start]]+Table1345[[#This Row],[duration]]</f>
        <v>#VALUE!</v>
      </c>
      <c r="C49" s="3"/>
      <c r="H49" s="1"/>
    </row>
    <row r="50" spans="1:8" x14ac:dyDescent="0.3">
      <c r="A50" s="2" t="e">
        <f t="shared" si="0"/>
        <v>#VALUE!</v>
      </c>
      <c r="B50" s="2" t="e">
        <f>Table1345[[#This Row],[start]]+Table1345[[#This Row],[duration]]</f>
        <v>#VALUE!</v>
      </c>
      <c r="C50" s="3"/>
      <c r="H50" s="1"/>
    </row>
  </sheetData>
  <mergeCells count="1">
    <mergeCell ref="J8:J9"/>
  </mergeCell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J50"/>
  <sheetViews>
    <sheetView showGridLines="0" workbookViewId="0">
      <selection activeCell="G19" sqref="G19"/>
    </sheetView>
  </sheetViews>
  <sheetFormatPr defaultColWidth="8.88671875" defaultRowHeight="14.4" x14ac:dyDescent="0.3"/>
  <cols>
    <col min="1" max="1" width="11.109375" style="2" customWidth="1"/>
    <col min="2" max="2" width="8.6640625" style="2" customWidth="1"/>
    <col min="3" max="3" width="13.109375" style="2" customWidth="1"/>
    <col min="4" max="5" width="8.88671875" style="2"/>
    <col min="6" max="6" width="11" style="2" bestFit="1" customWidth="1"/>
    <col min="7" max="7" width="9.6640625" style="27" customWidth="1"/>
    <col min="8" max="8" width="28.6640625" customWidth="1"/>
    <col min="10" max="10" width="80.6640625" customWidth="1"/>
  </cols>
  <sheetData>
    <row r="1" spans="1:10" x14ac:dyDescent="0.3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7" t="s">
        <v>8</v>
      </c>
      <c r="H1" s="1" t="s">
        <v>9</v>
      </c>
    </row>
    <row r="2" spans="1:10" x14ac:dyDescent="0.3">
      <c r="A2" s="3">
        <v>0.1</v>
      </c>
      <c r="B2" s="2">
        <f>Table13456[[#This Row],[start]]+Table13456[[#This Row],[duration]]</f>
        <v>6.1</v>
      </c>
      <c r="C2" s="3">
        <v>6</v>
      </c>
      <c r="D2" s="2">
        <v>0</v>
      </c>
      <c r="E2" s="2">
        <v>0</v>
      </c>
      <c r="F2" s="2">
        <v>0</v>
      </c>
      <c r="G2" s="27" t="s">
        <v>44</v>
      </c>
      <c r="H2" s="1" t="s">
        <v>45</v>
      </c>
      <c r="J2" s="8" t="s">
        <v>10</v>
      </c>
    </row>
    <row r="3" spans="1:10" x14ac:dyDescent="0.3">
      <c r="A3" s="2">
        <f t="shared" ref="A3:A50" si="0">B2</f>
        <v>6.1</v>
      </c>
      <c r="B3" s="2">
        <f>Table13456[[#This Row],[start]]+Table13456[[#This Row],[duration]]</f>
        <v>7.1</v>
      </c>
      <c r="C3" s="3">
        <v>1</v>
      </c>
      <c r="D3" s="2">
        <v>0</v>
      </c>
      <c r="E3" s="2">
        <v>0</v>
      </c>
      <c r="F3" s="2">
        <v>0.5</v>
      </c>
      <c r="G3" s="27" t="s">
        <v>0</v>
      </c>
      <c r="H3" s="1" t="s">
        <v>46</v>
      </c>
      <c r="J3" t="str" cm="1">
        <f t="array" ref="J3">ExcelToJSON(Table13456[#All])</f>
        <v>[{"start":"0.1","end":"6.1","duration":"6","x":"0","y":"0","rotation":"0","actions":"S","comment":"Shoot"},{"start":"6.1","end":"7.1","duration":"1","x":"0","y":"0","rotation":"0.5","actions":"D","comment":"Rotate toward ramp"},{"start":"7.1","end":"11.1","duration":"4","x":"0","y":"0.5","rotation":"0","actions":"D","comment":"Drive over ramp"},{"start":"11.1","end":"13.1","duration":"2","x":"0","y":"0.25","rotation":"0","actions":"DF","comment":"Drive &amp; Intake"},{"start":"13.1","end":"18.1","duration":"5","x":"0","y":"-0.5","rotation":"0","actions":"D","comment":"Drive backwards &amp; stop Intake"},{"start":"18.1","end":"19.1","duration":"1","x":"0","y":"0","rotation":"-0.5","actions":"D","comment":"Rotate toward target"},{"start":"19.1","end":"25.1","duration":"6","x":"0","y":"0","rotation":"0","actions":"S","comment":"Shoot"},{"start":"25.1","end":"26.1","duration":"1","x":"0","y":"0","rotation":"0.5","actions":"D","comment":"Straighten robot"},{"start":"26.1","end":"28.1","duration":"2","x":"0.5","y":"-0.5","rotation":"0","actions":"D","comment":"Drive to Depot"},{"start":"28.1","end":"30","duration":"1.9","x":"0","y":"0","rotation":"0","actions":"D","comment":"Stop"}]</v>
      </c>
    </row>
    <row r="4" spans="1:10" x14ac:dyDescent="0.3">
      <c r="A4" s="2">
        <f t="shared" si="0"/>
        <v>7.1</v>
      </c>
      <c r="B4" s="2">
        <f>Table13456[[#This Row],[start]]+Table13456[[#This Row],[duration]]</f>
        <v>11.1</v>
      </c>
      <c r="C4" s="3">
        <v>4</v>
      </c>
      <c r="D4" s="2">
        <v>0</v>
      </c>
      <c r="E4" s="2">
        <v>0.5</v>
      </c>
      <c r="F4" s="2">
        <v>0</v>
      </c>
      <c r="G4" s="27" t="s">
        <v>0</v>
      </c>
      <c r="H4" s="1" t="s">
        <v>47</v>
      </c>
    </row>
    <row r="5" spans="1:10" x14ac:dyDescent="0.3">
      <c r="A5" s="2">
        <f t="shared" si="0"/>
        <v>11.1</v>
      </c>
      <c r="B5" s="2">
        <f>Table13456[[#This Row],[start]]+Table13456[[#This Row],[duration]]</f>
        <v>13.1</v>
      </c>
      <c r="C5" s="3">
        <v>2</v>
      </c>
      <c r="D5" s="2">
        <v>0</v>
      </c>
      <c r="E5" s="2">
        <v>0.25</v>
      </c>
      <c r="F5" s="2">
        <v>0</v>
      </c>
      <c r="G5" s="27" t="s">
        <v>52</v>
      </c>
      <c r="H5" s="1" t="s">
        <v>48</v>
      </c>
    </row>
    <row r="6" spans="1:10" x14ac:dyDescent="0.3">
      <c r="A6" s="2">
        <f t="shared" si="0"/>
        <v>13.1</v>
      </c>
      <c r="B6" s="2">
        <f>Table13456[[#This Row],[start]]+Table13456[[#This Row],[duration]]</f>
        <v>18.100000000000001</v>
      </c>
      <c r="C6" s="3">
        <v>5</v>
      </c>
      <c r="D6" s="2">
        <v>0</v>
      </c>
      <c r="E6" s="2">
        <v>-0.5</v>
      </c>
      <c r="F6" s="2">
        <v>0</v>
      </c>
      <c r="G6" s="27" t="s">
        <v>0</v>
      </c>
      <c r="H6" s="1" t="s">
        <v>49</v>
      </c>
    </row>
    <row r="7" spans="1:10" x14ac:dyDescent="0.3">
      <c r="A7" s="2">
        <f t="shared" si="0"/>
        <v>18.100000000000001</v>
      </c>
      <c r="B7" s="2">
        <f>Table13456[[#This Row],[start]]+Table13456[[#This Row],[duration]]</f>
        <v>19.100000000000001</v>
      </c>
      <c r="C7" s="3">
        <v>1</v>
      </c>
      <c r="D7" s="2">
        <v>0</v>
      </c>
      <c r="E7" s="2">
        <v>0</v>
      </c>
      <c r="F7" s="2">
        <v>-0.5</v>
      </c>
      <c r="G7" s="27" t="s">
        <v>0</v>
      </c>
      <c r="H7" s="1" t="s">
        <v>50</v>
      </c>
      <c r="J7" s="9" t="s">
        <v>11</v>
      </c>
    </row>
    <row r="8" spans="1:10" x14ac:dyDescent="0.3">
      <c r="A8" s="2">
        <f t="shared" si="0"/>
        <v>19.100000000000001</v>
      </c>
      <c r="B8" s="2">
        <f>Table13456[[#This Row],[start]]+Table13456[[#This Row],[duration]]</f>
        <v>25.1</v>
      </c>
      <c r="C8" s="3">
        <v>6</v>
      </c>
      <c r="D8" s="2">
        <v>0</v>
      </c>
      <c r="E8" s="2">
        <v>0</v>
      </c>
      <c r="F8" s="2">
        <v>0</v>
      </c>
      <c r="G8" s="27" t="s">
        <v>44</v>
      </c>
      <c r="H8" s="1" t="s">
        <v>45</v>
      </c>
      <c r="J8" s="37" t="s">
        <v>12</v>
      </c>
    </row>
    <row r="9" spans="1:10" x14ac:dyDescent="0.3">
      <c r="A9" s="2">
        <f t="shared" si="0"/>
        <v>25.1</v>
      </c>
      <c r="B9" s="2">
        <f>Table13456[[#This Row],[start]]+Table13456[[#This Row],[duration]]</f>
        <v>26.1</v>
      </c>
      <c r="C9" s="3">
        <v>1</v>
      </c>
      <c r="D9" s="2">
        <v>0</v>
      </c>
      <c r="E9" s="2">
        <v>0</v>
      </c>
      <c r="F9" s="2">
        <v>0.5</v>
      </c>
      <c r="G9" s="27" t="s">
        <v>0</v>
      </c>
      <c r="H9" s="1" t="s">
        <v>53</v>
      </c>
      <c r="J9" s="37"/>
    </row>
    <row r="10" spans="1:10" x14ac:dyDescent="0.3">
      <c r="A10" s="2">
        <f t="shared" si="0"/>
        <v>26.1</v>
      </c>
      <c r="B10" s="2">
        <f>Table13456[[#This Row],[start]]+Table13456[[#This Row],[duration]]</f>
        <v>28.1</v>
      </c>
      <c r="C10" s="3">
        <v>2</v>
      </c>
      <c r="D10" s="2">
        <v>0.5</v>
      </c>
      <c r="E10" s="2">
        <v>-0.5</v>
      </c>
      <c r="F10" s="2">
        <v>0</v>
      </c>
      <c r="G10" s="27" t="s">
        <v>0</v>
      </c>
      <c r="H10" s="1" t="s">
        <v>54</v>
      </c>
    </row>
    <row r="11" spans="1:10" x14ac:dyDescent="0.3">
      <c r="A11" s="2">
        <f t="shared" si="0"/>
        <v>28.1</v>
      </c>
      <c r="B11" s="2">
        <f>Table13456[[#This Row],[start]]+Table13456[[#This Row],[duration]]</f>
        <v>30</v>
      </c>
      <c r="C11" s="3">
        <v>1.9</v>
      </c>
      <c r="D11" s="2">
        <v>0</v>
      </c>
      <c r="E11" s="2">
        <v>0</v>
      </c>
      <c r="F11" s="2">
        <v>0</v>
      </c>
      <c r="G11" s="27" t="s">
        <v>0</v>
      </c>
      <c r="H11" s="1" t="s">
        <v>51</v>
      </c>
      <c r="J11" s="9" t="s">
        <v>23</v>
      </c>
    </row>
    <row r="12" spans="1:10" x14ac:dyDescent="0.3">
      <c r="A12" s="2">
        <f t="shared" si="0"/>
        <v>30</v>
      </c>
      <c r="B12" s="2" t="e">
        <f>Table13456[[#This Row],[start]]+Table13456[[#This Row],[duration]]</f>
        <v>#VALUE!</v>
      </c>
      <c r="C12" s="3"/>
      <c r="H12" s="1"/>
      <c r="J12" t="s">
        <v>35</v>
      </c>
    </row>
    <row r="13" spans="1:10" x14ac:dyDescent="0.3">
      <c r="A13" s="2" t="e">
        <f t="shared" si="0"/>
        <v>#VALUE!</v>
      </c>
      <c r="B13" s="2" t="e">
        <f>Table13456[[#This Row],[start]]+Table13456[[#This Row],[duration]]</f>
        <v>#VALUE!</v>
      </c>
      <c r="C13" s="3"/>
      <c r="H13" s="1"/>
      <c r="J13" t="s">
        <v>36</v>
      </c>
    </row>
    <row r="14" spans="1:10" x14ac:dyDescent="0.3">
      <c r="A14" s="2" t="e">
        <f t="shared" si="0"/>
        <v>#VALUE!</v>
      </c>
      <c r="B14" s="2" t="e">
        <f>Table13456[[#This Row],[start]]+Table13456[[#This Row],[duration]]</f>
        <v>#VALUE!</v>
      </c>
      <c r="C14" s="3"/>
      <c r="H14" s="1"/>
      <c r="J14" t="s">
        <v>37</v>
      </c>
    </row>
    <row r="15" spans="1:10" x14ac:dyDescent="0.3">
      <c r="A15" s="2" t="e">
        <f t="shared" si="0"/>
        <v>#VALUE!</v>
      </c>
      <c r="B15" s="2" t="e">
        <f>Table13456[[#This Row],[start]]+Table13456[[#This Row],[duration]]</f>
        <v>#VALUE!</v>
      </c>
      <c r="C15" s="3"/>
      <c r="H15" s="1"/>
      <c r="J15" t="s">
        <v>38</v>
      </c>
    </row>
    <row r="16" spans="1:10" x14ac:dyDescent="0.3">
      <c r="A16" s="2" t="e">
        <f t="shared" si="0"/>
        <v>#VALUE!</v>
      </c>
      <c r="B16" s="2" t="e">
        <f>Table13456[[#This Row],[start]]+Table13456[[#This Row],[duration]]</f>
        <v>#VALUE!</v>
      </c>
      <c r="C16" s="3"/>
      <c r="H16" s="1"/>
      <c r="J16" t="s">
        <v>24</v>
      </c>
    </row>
    <row r="17" spans="1:10" x14ac:dyDescent="0.3">
      <c r="A17" s="2" t="e">
        <f t="shared" si="0"/>
        <v>#VALUE!</v>
      </c>
      <c r="B17" s="2" t="e">
        <f>Table13456[[#This Row],[start]]+Table13456[[#This Row],[duration]]</f>
        <v>#VALUE!</v>
      </c>
      <c r="C17" s="3"/>
      <c r="H17" s="1"/>
      <c r="J17" t="s">
        <v>39</v>
      </c>
    </row>
    <row r="18" spans="1:10" x14ac:dyDescent="0.3">
      <c r="A18" s="2" t="e">
        <f t="shared" si="0"/>
        <v>#VALUE!</v>
      </c>
      <c r="B18" s="2" t="e">
        <f>Table13456[[#This Row],[start]]+Table13456[[#This Row],[duration]]</f>
        <v>#VALUE!</v>
      </c>
      <c r="C18" s="3"/>
      <c r="H18" s="1"/>
      <c r="J18" t="s">
        <v>40</v>
      </c>
    </row>
    <row r="19" spans="1:10" x14ac:dyDescent="0.3">
      <c r="A19" s="2" t="e">
        <f t="shared" si="0"/>
        <v>#VALUE!</v>
      </c>
      <c r="B19" s="2" t="e">
        <f>Table13456[[#This Row],[start]]+Table13456[[#This Row],[duration]]</f>
        <v>#VALUE!</v>
      </c>
      <c r="C19" s="3"/>
      <c r="H19" s="1"/>
      <c r="J19" t="s">
        <v>41</v>
      </c>
    </row>
    <row r="20" spans="1:10" x14ac:dyDescent="0.3">
      <c r="A20" s="2" t="e">
        <f t="shared" si="0"/>
        <v>#VALUE!</v>
      </c>
      <c r="B20" s="2" t="e">
        <f>Table13456[[#This Row],[start]]+Table13456[[#This Row],[duration]]</f>
        <v>#VALUE!</v>
      </c>
      <c r="C20" s="3"/>
      <c r="H20" s="1"/>
      <c r="J20" t="s">
        <v>42</v>
      </c>
    </row>
    <row r="21" spans="1:10" x14ac:dyDescent="0.3">
      <c r="A21" s="2" t="e">
        <f t="shared" si="0"/>
        <v>#VALUE!</v>
      </c>
      <c r="B21" s="2" t="e">
        <f>Table13456[[#This Row],[start]]+Table13456[[#This Row],[duration]]</f>
        <v>#VALUE!</v>
      </c>
      <c r="C21" s="3"/>
      <c r="H21" s="1"/>
    </row>
    <row r="22" spans="1:10" x14ac:dyDescent="0.3">
      <c r="A22" s="2" t="e">
        <f t="shared" si="0"/>
        <v>#VALUE!</v>
      </c>
      <c r="B22" s="2" t="e">
        <f>Table13456[[#This Row],[start]]+Table13456[[#This Row],[duration]]</f>
        <v>#VALUE!</v>
      </c>
      <c r="C22" s="3"/>
      <c r="H22" s="1"/>
      <c r="J22" s="36" t="s">
        <v>27</v>
      </c>
    </row>
    <row r="23" spans="1:10" x14ac:dyDescent="0.3">
      <c r="A23" s="2" t="e">
        <f t="shared" si="0"/>
        <v>#VALUE!</v>
      </c>
      <c r="B23" s="2" t="e">
        <f>Table13456[[#This Row],[start]]+Table13456[[#This Row],[duration]]</f>
        <v>#VALUE!</v>
      </c>
      <c r="C23" s="3"/>
      <c r="H23" s="1"/>
      <c r="J23" s="36" t="s">
        <v>28</v>
      </c>
    </row>
    <row r="24" spans="1:10" x14ac:dyDescent="0.3">
      <c r="A24" s="2" t="e">
        <f t="shared" si="0"/>
        <v>#VALUE!</v>
      </c>
      <c r="B24" s="2" t="e">
        <f>Table13456[[#This Row],[start]]+Table13456[[#This Row],[duration]]</f>
        <v>#VALUE!</v>
      </c>
      <c r="C24" s="3"/>
      <c r="H24" s="1"/>
      <c r="J24" s="36" t="s">
        <v>29</v>
      </c>
    </row>
    <row r="25" spans="1:10" x14ac:dyDescent="0.3">
      <c r="A25" s="2" t="e">
        <f t="shared" si="0"/>
        <v>#VALUE!</v>
      </c>
      <c r="B25" s="2" t="e">
        <f>Table13456[[#This Row],[start]]+Table13456[[#This Row],[duration]]</f>
        <v>#VALUE!</v>
      </c>
      <c r="C25" s="3"/>
      <c r="H25" s="1"/>
      <c r="J25" s="36" t="s">
        <v>30</v>
      </c>
    </row>
    <row r="26" spans="1:10" x14ac:dyDescent="0.3">
      <c r="A26" s="2" t="e">
        <f t="shared" si="0"/>
        <v>#VALUE!</v>
      </c>
      <c r="B26" s="2" t="e">
        <f>Table13456[[#This Row],[start]]+Table13456[[#This Row],[duration]]</f>
        <v>#VALUE!</v>
      </c>
      <c r="C26" s="3"/>
      <c r="H26" s="1"/>
      <c r="J26" s="36" t="s">
        <v>31</v>
      </c>
    </row>
    <row r="27" spans="1:10" x14ac:dyDescent="0.3">
      <c r="A27" s="2" t="e">
        <f t="shared" si="0"/>
        <v>#VALUE!</v>
      </c>
      <c r="B27" s="2" t="e">
        <f>Table13456[[#This Row],[start]]+Table13456[[#This Row],[duration]]</f>
        <v>#VALUE!</v>
      </c>
      <c r="C27" s="3"/>
      <c r="H27" s="1"/>
      <c r="J27" s="36" t="s">
        <v>32</v>
      </c>
    </row>
    <row r="28" spans="1:10" x14ac:dyDescent="0.3">
      <c r="A28" s="2" t="e">
        <f t="shared" si="0"/>
        <v>#VALUE!</v>
      </c>
      <c r="B28" s="2" t="e">
        <f>Table13456[[#This Row],[start]]+Table13456[[#This Row],[duration]]</f>
        <v>#VALUE!</v>
      </c>
      <c r="C28" s="3"/>
      <c r="H28" s="1"/>
    </row>
    <row r="29" spans="1:10" x14ac:dyDescent="0.3">
      <c r="A29" s="2" t="e">
        <f t="shared" si="0"/>
        <v>#VALUE!</v>
      </c>
      <c r="B29" s="2" t="e">
        <f>Table13456[[#This Row],[start]]+Table13456[[#This Row],[duration]]</f>
        <v>#VALUE!</v>
      </c>
      <c r="C29" s="3"/>
      <c r="H29" s="1"/>
    </row>
    <row r="30" spans="1:10" x14ac:dyDescent="0.3">
      <c r="A30" s="2" t="e">
        <f t="shared" si="0"/>
        <v>#VALUE!</v>
      </c>
      <c r="B30" s="2" t="e">
        <f>Table13456[[#This Row],[start]]+Table13456[[#This Row],[duration]]</f>
        <v>#VALUE!</v>
      </c>
      <c r="C30" s="3"/>
      <c r="H30" s="1"/>
    </row>
    <row r="31" spans="1:10" x14ac:dyDescent="0.3">
      <c r="A31" s="2" t="e">
        <f t="shared" si="0"/>
        <v>#VALUE!</v>
      </c>
      <c r="B31" s="2" t="e">
        <f>Table13456[[#This Row],[start]]+Table13456[[#This Row],[duration]]</f>
        <v>#VALUE!</v>
      </c>
      <c r="C31" s="3"/>
      <c r="H31" s="1"/>
    </row>
    <row r="32" spans="1:10" x14ac:dyDescent="0.3">
      <c r="A32" s="2" t="e">
        <f t="shared" si="0"/>
        <v>#VALUE!</v>
      </c>
      <c r="B32" s="2" t="e">
        <f>Table13456[[#This Row],[start]]+Table13456[[#This Row],[duration]]</f>
        <v>#VALUE!</v>
      </c>
      <c r="C32" s="3"/>
      <c r="H32" s="1"/>
    </row>
    <row r="33" spans="1:8" x14ac:dyDescent="0.3">
      <c r="A33" s="2" t="e">
        <f t="shared" si="0"/>
        <v>#VALUE!</v>
      </c>
      <c r="B33" s="2" t="e">
        <f>Table13456[[#This Row],[start]]+Table13456[[#This Row],[duration]]</f>
        <v>#VALUE!</v>
      </c>
      <c r="C33" s="3"/>
      <c r="H33" s="1"/>
    </row>
    <row r="34" spans="1:8" x14ac:dyDescent="0.3">
      <c r="A34" s="2" t="e">
        <f t="shared" si="0"/>
        <v>#VALUE!</v>
      </c>
      <c r="B34" s="2" t="e">
        <f>Table13456[[#This Row],[start]]+Table13456[[#This Row],[duration]]</f>
        <v>#VALUE!</v>
      </c>
      <c r="C34" s="3"/>
      <c r="H34" s="1"/>
    </row>
    <row r="35" spans="1:8" x14ac:dyDescent="0.3">
      <c r="A35" s="2" t="e">
        <f t="shared" si="0"/>
        <v>#VALUE!</v>
      </c>
      <c r="B35" s="2" t="e">
        <f>Table13456[[#This Row],[start]]+Table13456[[#This Row],[duration]]</f>
        <v>#VALUE!</v>
      </c>
      <c r="C35" s="3"/>
      <c r="H35" s="1"/>
    </row>
    <row r="36" spans="1:8" x14ac:dyDescent="0.3">
      <c r="A36" s="2" t="e">
        <f t="shared" si="0"/>
        <v>#VALUE!</v>
      </c>
      <c r="B36" s="2" t="e">
        <f>Table13456[[#This Row],[start]]+Table13456[[#This Row],[duration]]</f>
        <v>#VALUE!</v>
      </c>
      <c r="C36" s="3"/>
      <c r="H36" s="1"/>
    </row>
    <row r="37" spans="1:8" x14ac:dyDescent="0.3">
      <c r="A37" s="2" t="e">
        <f t="shared" si="0"/>
        <v>#VALUE!</v>
      </c>
      <c r="B37" s="2" t="e">
        <f>Table13456[[#This Row],[start]]+Table13456[[#This Row],[duration]]</f>
        <v>#VALUE!</v>
      </c>
      <c r="C37" s="3"/>
      <c r="H37" s="1"/>
    </row>
    <row r="38" spans="1:8" x14ac:dyDescent="0.3">
      <c r="A38" s="2" t="e">
        <f t="shared" si="0"/>
        <v>#VALUE!</v>
      </c>
      <c r="B38" s="2" t="e">
        <f>Table13456[[#This Row],[start]]+Table13456[[#This Row],[duration]]</f>
        <v>#VALUE!</v>
      </c>
      <c r="C38" s="3"/>
      <c r="H38" s="1"/>
    </row>
    <row r="39" spans="1:8" x14ac:dyDescent="0.3">
      <c r="A39" s="2" t="e">
        <f t="shared" si="0"/>
        <v>#VALUE!</v>
      </c>
      <c r="B39" s="2" t="e">
        <f>Table13456[[#This Row],[start]]+Table13456[[#This Row],[duration]]</f>
        <v>#VALUE!</v>
      </c>
      <c r="C39" s="3"/>
      <c r="H39" s="1"/>
    </row>
    <row r="40" spans="1:8" x14ac:dyDescent="0.3">
      <c r="A40" s="2" t="e">
        <f t="shared" si="0"/>
        <v>#VALUE!</v>
      </c>
      <c r="B40" s="2" t="e">
        <f>Table13456[[#This Row],[start]]+Table13456[[#This Row],[duration]]</f>
        <v>#VALUE!</v>
      </c>
      <c r="C40" s="3"/>
      <c r="H40" s="1"/>
    </row>
    <row r="41" spans="1:8" x14ac:dyDescent="0.3">
      <c r="A41" s="2" t="e">
        <f t="shared" si="0"/>
        <v>#VALUE!</v>
      </c>
      <c r="B41" s="2" t="e">
        <f>Table13456[[#This Row],[start]]+Table13456[[#This Row],[duration]]</f>
        <v>#VALUE!</v>
      </c>
      <c r="C41" s="3"/>
      <c r="H41" s="1"/>
    </row>
    <row r="42" spans="1:8" x14ac:dyDescent="0.3">
      <c r="A42" s="2" t="e">
        <f t="shared" si="0"/>
        <v>#VALUE!</v>
      </c>
      <c r="B42" s="2" t="e">
        <f>Table13456[[#This Row],[start]]+Table13456[[#This Row],[duration]]</f>
        <v>#VALUE!</v>
      </c>
      <c r="C42" s="3"/>
      <c r="H42" s="1"/>
    </row>
    <row r="43" spans="1:8" x14ac:dyDescent="0.3">
      <c r="A43" s="2" t="e">
        <f t="shared" si="0"/>
        <v>#VALUE!</v>
      </c>
      <c r="B43" s="2" t="e">
        <f>Table13456[[#This Row],[start]]+Table13456[[#This Row],[duration]]</f>
        <v>#VALUE!</v>
      </c>
      <c r="C43" s="3"/>
      <c r="H43" s="1"/>
    </row>
    <row r="44" spans="1:8" x14ac:dyDescent="0.3">
      <c r="A44" s="2" t="e">
        <f t="shared" si="0"/>
        <v>#VALUE!</v>
      </c>
      <c r="B44" s="2" t="e">
        <f>Table13456[[#This Row],[start]]+Table13456[[#This Row],[duration]]</f>
        <v>#VALUE!</v>
      </c>
      <c r="C44" s="3"/>
      <c r="H44" s="1"/>
    </row>
    <row r="45" spans="1:8" x14ac:dyDescent="0.3">
      <c r="A45" s="2" t="e">
        <f t="shared" si="0"/>
        <v>#VALUE!</v>
      </c>
      <c r="B45" s="2" t="e">
        <f>Table13456[[#This Row],[start]]+Table13456[[#This Row],[duration]]</f>
        <v>#VALUE!</v>
      </c>
      <c r="C45" s="3"/>
      <c r="H45" s="1"/>
    </row>
    <row r="46" spans="1:8" x14ac:dyDescent="0.3">
      <c r="A46" s="2" t="e">
        <f t="shared" si="0"/>
        <v>#VALUE!</v>
      </c>
      <c r="B46" s="2" t="e">
        <f>Table13456[[#This Row],[start]]+Table13456[[#This Row],[duration]]</f>
        <v>#VALUE!</v>
      </c>
      <c r="C46" s="3"/>
      <c r="H46" s="1"/>
    </row>
    <row r="47" spans="1:8" x14ac:dyDescent="0.3">
      <c r="A47" s="2" t="e">
        <f t="shared" si="0"/>
        <v>#VALUE!</v>
      </c>
      <c r="B47" s="2" t="e">
        <f>Table13456[[#This Row],[start]]+Table13456[[#This Row],[duration]]</f>
        <v>#VALUE!</v>
      </c>
      <c r="C47" s="3"/>
      <c r="H47" s="1"/>
    </row>
    <row r="48" spans="1:8" x14ac:dyDescent="0.3">
      <c r="A48" s="2" t="e">
        <f t="shared" si="0"/>
        <v>#VALUE!</v>
      </c>
      <c r="B48" s="2" t="e">
        <f>Table13456[[#This Row],[start]]+Table13456[[#This Row],[duration]]</f>
        <v>#VALUE!</v>
      </c>
      <c r="C48" s="3"/>
      <c r="H48" s="1"/>
    </row>
    <row r="49" spans="1:8" x14ac:dyDescent="0.3">
      <c r="A49" s="2" t="e">
        <f t="shared" si="0"/>
        <v>#VALUE!</v>
      </c>
      <c r="B49" s="2" t="e">
        <f>Table13456[[#This Row],[start]]+Table13456[[#This Row],[duration]]</f>
        <v>#VALUE!</v>
      </c>
      <c r="C49" s="3"/>
      <c r="H49" s="1"/>
    </row>
    <row r="50" spans="1:8" x14ac:dyDescent="0.3">
      <c r="A50" s="2" t="e">
        <f t="shared" si="0"/>
        <v>#VALUE!</v>
      </c>
      <c r="B50" s="2" t="e">
        <f>Table13456[[#This Row],[start]]+Table13456[[#This Row],[duration]]</f>
        <v>#VALUE!</v>
      </c>
      <c r="C50" s="3"/>
      <c r="H50" s="1"/>
    </row>
  </sheetData>
  <mergeCells count="1">
    <mergeCell ref="J8:J9"/>
  </mergeCell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Q50"/>
  <sheetViews>
    <sheetView showGridLines="0" topLeftCell="B1" workbookViewId="0">
      <selection activeCell="J3" sqref="J3"/>
    </sheetView>
  </sheetViews>
  <sheetFormatPr defaultColWidth="8.88671875" defaultRowHeight="14.4" x14ac:dyDescent="0.3"/>
  <cols>
    <col min="1" max="1" width="11.109375" style="2" customWidth="1"/>
    <col min="2" max="2" width="8.6640625" style="2" customWidth="1"/>
    <col min="3" max="3" width="13.109375" style="2" customWidth="1"/>
    <col min="4" max="5" width="8.88671875" style="2"/>
    <col min="6" max="6" width="11" style="2" bestFit="1" customWidth="1"/>
    <col min="7" max="7" width="9.6640625" style="27" customWidth="1"/>
    <col min="8" max="8" width="28.6640625" customWidth="1"/>
    <col min="10" max="10" width="80.6640625" customWidth="1"/>
  </cols>
  <sheetData>
    <row r="1" spans="1:17" x14ac:dyDescent="0.3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7" t="s">
        <v>8</v>
      </c>
      <c r="H1" s="1" t="s">
        <v>9</v>
      </c>
      <c r="J1" s="5"/>
      <c r="K1" s="5"/>
      <c r="L1" s="5"/>
      <c r="M1" s="5"/>
      <c r="N1" s="5"/>
      <c r="O1" s="5"/>
      <c r="P1" s="6"/>
      <c r="Q1" s="7"/>
    </row>
    <row r="2" spans="1:17" x14ac:dyDescent="0.3">
      <c r="A2" s="3">
        <v>0.1</v>
      </c>
      <c r="B2" s="2">
        <f>Table171112[[#This Row],[start]]+Table171112[[#This Row],[duration]]</f>
        <v>1.1000000000000001</v>
      </c>
      <c r="C2" s="3">
        <v>1</v>
      </c>
      <c r="D2" s="2">
        <v>0</v>
      </c>
      <c r="E2" s="2">
        <v>-0.5</v>
      </c>
      <c r="F2" s="2">
        <v>0</v>
      </c>
      <c r="G2" s="27" t="s">
        <v>0</v>
      </c>
      <c r="H2" s="1" t="s">
        <v>33</v>
      </c>
      <c r="J2" s="8" t="s">
        <v>10</v>
      </c>
      <c r="K2" s="2"/>
      <c r="L2" s="2"/>
      <c r="M2" s="2"/>
      <c r="N2" s="2"/>
      <c r="O2" s="2"/>
      <c r="Q2" s="1"/>
    </row>
    <row r="3" spans="1:17" x14ac:dyDescent="0.3">
      <c r="A3" s="2">
        <f t="shared" ref="A3:A50" si="0">B2</f>
        <v>1.1000000000000001</v>
      </c>
      <c r="B3" s="2">
        <f>Table171112[[#This Row],[start]]+Table171112[[#This Row],[duration]]</f>
        <v>2.1</v>
      </c>
      <c r="C3" s="3">
        <v>1</v>
      </c>
      <c r="D3" s="2">
        <v>0</v>
      </c>
      <c r="E3" s="2">
        <v>0</v>
      </c>
      <c r="F3" s="2">
        <v>0</v>
      </c>
      <c r="G3" s="27" t="s">
        <v>0</v>
      </c>
      <c r="H3" s="1" t="s">
        <v>1</v>
      </c>
      <c r="J3" t="str">
        <f>ExcelToJSON(Table171112[#All])</f>
        <v>[{"start":"0.1","end":"1.1","duration":"1","x":"0","y":"-0.5","rotation":"0","actions":"D","comment":"Drive forward"},{"start":"1.1","end":"2.1","duration":"1","x":"0","y":"0","rotation":"0","actions":"D","comment":"Stop driving"}]</v>
      </c>
    </row>
    <row r="4" spans="1:17" x14ac:dyDescent="0.3">
      <c r="A4" s="2">
        <f t="shared" si="0"/>
        <v>2.1</v>
      </c>
      <c r="B4" s="2" t="e">
        <f>Table171112[[#This Row],[start]]+Table171112[[#This Row],[duration]]</f>
        <v>#VALUE!</v>
      </c>
      <c r="C4" s="3"/>
      <c r="H4" s="1"/>
    </row>
    <row r="5" spans="1:17" x14ac:dyDescent="0.3">
      <c r="A5" s="2" t="e">
        <f t="shared" si="0"/>
        <v>#VALUE!</v>
      </c>
      <c r="B5" s="2" t="e">
        <f>Table171112[[#This Row],[start]]+Table171112[[#This Row],[duration]]</f>
        <v>#VALUE!</v>
      </c>
      <c r="C5" s="3"/>
      <c r="H5" s="1"/>
    </row>
    <row r="6" spans="1:17" x14ac:dyDescent="0.3">
      <c r="A6" s="2" t="e">
        <f t="shared" si="0"/>
        <v>#VALUE!</v>
      </c>
      <c r="B6" s="2" t="e">
        <f>Table171112[[#This Row],[start]]+Table171112[[#This Row],[duration]]</f>
        <v>#VALUE!</v>
      </c>
      <c r="C6" s="3"/>
      <c r="H6" s="1"/>
    </row>
    <row r="7" spans="1:17" ht="15" customHeight="1" x14ac:dyDescent="0.3">
      <c r="A7" s="2" t="e">
        <f t="shared" si="0"/>
        <v>#VALUE!</v>
      </c>
      <c r="B7" s="2" t="e">
        <f>Table171112[[#This Row],[start]]+Table171112[[#This Row],[duration]]</f>
        <v>#VALUE!</v>
      </c>
      <c r="C7" s="3"/>
      <c r="H7" s="1"/>
      <c r="J7" s="9" t="s">
        <v>11</v>
      </c>
      <c r="K7" s="4"/>
      <c r="L7" s="4"/>
      <c r="M7" s="4"/>
      <c r="N7" s="4"/>
      <c r="O7" s="4"/>
      <c r="P7" s="4"/>
      <c r="Q7" s="4"/>
    </row>
    <row r="8" spans="1:17" x14ac:dyDescent="0.3">
      <c r="A8" s="2" t="e">
        <f t="shared" si="0"/>
        <v>#VALUE!</v>
      </c>
      <c r="B8" s="2" t="e">
        <f>Table171112[[#This Row],[start]]+Table171112[[#This Row],[duration]]</f>
        <v>#VALUE!</v>
      </c>
      <c r="C8" s="3"/>
      <c r="H8" s="1"/>
      <c r="J8" s="37" t="s">
        <v>12</v>
      </c>
      <c r="K8" s="4"/>
      <c r="L8" s="4"/>
      <c r="M8" s="4"/>
      <c r="N8" s="4"/>
      <c r="O8" s="4"/>
      <c r="P8" s="4"/>
      <c r="Q8" s="4"/>
    </row>
    <row r="9" spans="1:17" x14ac:dyDescent="0.3">
      <c r="A9" s="2" t="e">
        <f t="shared" si="0"/>
        <v>#VALUE!</v>
      </c>
      <c r="B9" s="2" t="e">
        <f>Table13[[#This Row],[start]]+Table13[[#This Row],[duration]]</f>
        <v>#VALUE!</v>
      </c>
      <c r="C9" s="3"/>
      <c r="H9" s="1"/>
      <c r="J9" s="37"/>
      <c r="K9" s="4"/>
      <c r="L9" s="4"/>
      <c r="M9" s="4"/>
      <c r="N9" s="4"/>
      <c r="O9" s="4"/>
      <c r="P9" s="4"/>
      <c r="Q9" s="4"/>
    </row>
    <row r="10" spans="1:17" x14ac:dyDescent="0.3">
      <c r="A10" s="2" t="e">
        <f t="shared" si="0"/>
        <v>#VALUE!</v>
      </c>
      <c r="B10" s="2" t="e">
        <f>Table13[[#This Row],[start]]+Table13[[#This Row],[duration]]</f>
        <v>#VALUE!</v>
      </c>
      <c r="C10" s="3"/>
      <c r="H10" s="1"/>
      <c r="J10" s="4"/>
      <c r="K10" s="4"/>
      <c r="L10" s="4"/>
      <c r="M10" s="4"/>
      <c r="N10" s="4"/>
      <c r="O10" s="4"/>
      <c r="P10" s="4"/>
      <c r="Q10" s="4"/>
    </row>
    <row r="11" spans="1:17" x14ac:dyDescent="0.3">
      <c r="A11" s="2" t="e">
        <f t="shared" si="0"/>
        <v>#VALUE!</v>
      </c>
      <c r="B11" s="2" t="e">
        <f>Table13[[#This Row],[start]]+Table13[[#This Row],[duration]]</f>
        <v>#VALUE!</v>
      </c>
      <c r="C11" s="3"/>
      <c r="H11" s="1"/>
      <c r="J11" s="9" t="s">
        <v>23</v>
      </c>
      <c r="K11" s="4"/>
      <c r="L11" s="4"/>
      <c r="M11" s="4"/>
      <c r="N11" s="4"/>
      <c r="O11" s="4"/>
      <c r="P11" s="4"/>
      <c r="Q11" s="4"/>
    </row>
    <row r="12" spans="1:17" x14ac:dyDescent="0.3">
      <c r="A12" s="2" t="e">
        <f t="shared" si="0"/>
        <v>#VALUE!</v>
      </c>
      <c r="B12" s="2" t="e">
        <f>Table13[[#This Row],[start]]+Table13[[#This Row],[duration]]</f>
        <v>#VALUE!</v>
      </c>
      <c r="C12" s="3"/>
      <c r="H12" s="1"/>
      <c r="J12" t="s">
        <v>35</v>
      </c>
      <c r="K12" s="4"/>
      <c r="L12" s="4"/>
      <c r="M12" s="4"/>
      <c r="N12" s="4"/>
      <c r="O12" s="4"/>
      <c r="P12" s="4"/>
      <c r="Q12" s="4"/>
    </row>
    <row r="13" spans="1:17" x14ac:dyDescent="0.3">
      <c r="A13" s="2" t="e">
        <f t="shared" si="0"/>
        <v>#VALUE!</v>
      </c>
      <c r="B13" s="2" t="e">
        <f>Table13[[#This Row],[start]]+Table13[[#This Row],[duration]]</f>
        <v>#VALUE!</v>
      </c>
      <c r="C13" s="3"/>
      <c r="H13" s="1"/>
      <c r="J13" t="s">
        <v>36</v>
      </c>
      <c r="K13" s="4"/>
      <c r="L13" s="4"/>
      <c r="M13" s="4"/>
      <c r="N13" s="4"/>
      <c r="O13" s="4"/>
      <c r="P13" s="4"/>
      <c r="Q13" s="4"/>
    </row>
    <row r="14" spans="1:17" ht="15" customHeight="1" x14ac:dyDescent="0.3">
      <c r="A14" s="2" t="e">
        <f t="shared" si="0"/>
        <v>#VALUE!</v>
      </c>
      <c r="B14" s="2" t="e">
        <f>Table13[[#This Row],[start]]+Table13[[#This Row],[duration]]</f>
        <v>#VALUE!</v>
      </c>
      <c r="C14" s="3"/>
      <c r="H14" s="1"/>
      <c r="J14" t="s">
        <v>37</v>
      </c>
      <c r="K14" s="4"/>
      <c r="L14" s="4"/>
      <c r="M14" s="4"/>
      <c r="N14" s="4"/>
      <c r="O14" s="4"/>
      <c r="P14" s="4"/>
      <c r="Q14" s="4"/>
    </row>
    <row r="15" spans="1:17" x14ac:dyDescent="0.3">
      <c r="A15" s="2" t="e">
        <f t="shared" si="0"/>
        <v>#VALUE!</v>
      </c>
      <c r="B15" s="2" t="e">
        <f>Table13[[#This Row],[start]]+Table13[[#This Row],[duration]]</f>
        <v>#VALUE!</v>
      </c>
      <c r="C15" s="3"/>
      <c r="H15" s="1"/>
      <c r="J15" t="s">
        <v>38</v>
      </c>
      <c r="K15" s="4"/>
      <c r="L15" s="4"/>
      <c r="M15" s="4"/>
      <c r="N15" s="4"/>
      <c r="O15" s="4"/>
      <c r="P15" s="4"/>
      <c r="Q15" s="4"/>
    </row>
    <row r="16" spans="1:17" x14ac:dyDescent="0.3">
      <c r="A16" s="2" t="e">
        <f t="shared" si="0"/>
        <v>#VALUE!</v>
      </c>
      <c r="B16" s="2" t="e">
        <f>Table13[[#This Row],[start]]+Table13[[#This Row],[duration]]</f>
        <v>#VALUE!</v>
      </c>
      <c r="C16" s="3"/>
      <c r="H16" s="1"/>
      <c r="J16" t="s">
        <v>24</v>
      </c>
      <c r="K16" s="4"/>
      <c r="L16" s="4"/>
      <c r="M16" s="4"/>
      <c r="N16" s="4"/>
      <c r="O16" s="4"/>
      <c r="P16" s="4"/>
      <c r="Q16" s="4"/>
    </row>
    <row r="17" spans="1:17" x14ac:dyDescent="0.3">
      <c r="A17" s="2" t="e">
        <f t="shared" si="0"/>
        <v>#VALUE!</v>
      </c>
      <c r="B17" s="2" t="e">
        <f>Table13[[#This Row],[start]]+Table13[[#This Row],[duration]]</f>
        <v>#VALUE!</v>
      </c>
      <c r="C17" s="3"/>
      <c r="H17" s="1"/>
      <c r="J17" t="s">
        <v>39</v>
      </c>
      <c r="K17" s="4"/>
      <c r="L17" s="4"/>
      <c r="M17" s="4"/>
      <c r="N17" s="4"/>
      <c r="O17" s="4"/>
      <c r="P17" s="4"/>
      <c r="Q17" s="4"/>
    </row>
    <row r="18" spans="1:17" x14ac:dyDescent="0.3">
      <c r="A18" s="2" t="e">
        <f t="shared" si="0"/>
        <v>#VALUE!</v>
      </c>
      <c r="B18" s="2" t="e">
        <f>Table13[[#This Row],[start]]+Table13[[#This Row],[duration]]</f>
        <v>#VALUE!</v>
      </c>
      <c r="C18" s="3"/>
      <c r="H18" s="1"/>
      <c r="J18" t="s">
        <v>40</v>
      </c>
      <c r="K18" s="4"/>
      <c r="L18" s="4"/>
      <c r="M18" s="4"/>
      <c r="N18" s="4"/>
      <c r="O18" s="4"/>
      <c r="P18" s="4"/>
      <c r="Q18" s="4"/>
    </row>
    <row r="19" spans="1:17" x14ac:dyDescent="0.3">
      <c r="A19" s="2" t="e">
        <f t="shared" si="0"/>
        <v>#VALUE!</v>
      </c>
      <c r="B19" s="2" t="e">
        <f>Table13[[#This Row],[start]]+Table13[[#This Row],[duration]]</f>
        <v>#VALUE!</v>
      </c>
      <c r="C19" s="3"/>
      <c r="H19" s="1"/>
      <c r="J19" t="s">
        <v>41</v>
      </c>
      <c r="K19" s="4"/>
      <c r="L19" s="4"/>
      <c r="M19" s="4"/>
      <c r="N19" s="4"/>
      <c r="O19" s="4"/>
      <c r="P19" s="4"/>
      <c r="Q19" s="4"/>
    </row>
    <row r="20" spans="1:17" x14ac:dyDescent="0.3">
      <c r="A20" s="2" t="e">
        <f t="shared" si="0"/>
        <v>#VALUE!</v>
      </c>
      <c r="B20" s="2" t="e">
        <f>Table13[[#This Row],[start]]+Table13[[#This Row],[duration]]</f>
        <v>#VALUE!</v>
      </c>
      <c r="C20" s="3"/>
      <c r="H20" s="1"/>
      <c r="J20" t="s">
        <v>42</v>
      </c>
      <c r="K20" s="4"/>
      <c r="L20" s="4"/>
      <c r="M20" s="4"/>
      <c r="N20" s="4"/>
      <c r="O20" s="4"/>
      <c r="P20" s="4"/>
      <c r="Q20" s="4"/>
    </row>
    <row r="21" spans="1:17" x14ac:dyDescent="0.3">
      <c r="A21" s="2" t="e">
        <f t="shared" si="0"/>
        <v>#VALUE!</v>
      </c>
      <c r="B21" s="2" t="e">
        <f>Table13[[#This Row],[start]]+Table13[[#This Row],[duration]]</f>
        <v>#VALUE!</v>
      </c>
      <c r="C21" s="3"/>
      <c r="H21" s="1"/>
      <c r="K21" s="4"/>
      <c r="L21" s="4"/>
      <c r="M21" s="4"/>
      <c r="N21" s="4"/>
      <c r="O21" s="4"/>
      <c r="P21" s="4"/>
      <c r="Q21" s="4"/>
    </row>
    <row r="22" spans="1:17" x14ac:dyDescent="0.3">
      <c r="A22" s="2" t="e">
        <f t="shared" si="0"/>
        <v>#VALUE!</v>
      </c>
      <c r="B22" s="2" t="e">
        <f>Table171112[[#This Row],[start]]+Table171112[[#This Row],[duration]]</f>
        <v>#VALUE!</v>
      </c>
      <c r="C22" s="3"/>
      <c r="H22" s="1"/>
      <c r="J22" s="36" t="s">
        <v>27</v>
      </c>
      <c r="K22" s="4"/>
      <c r="L22" s="4"/>
      <c r="M22" s="4"/>
      <c r="N22" s="4"/>
      <c r="O22" s="4"/>
      <c r="P22" s="4"/>
      <c r="Q22" s="4"/>
    </row>
    <row r="23" spans="1:17" x14ac:dyDescent="0.3">
      <c r="A23" s="2" t="e">
        <f t="shared" si="0"/>
        <v>#VALUE!</v>
      </c>
      <c r="B23" s="2" t="e">
        <f>Table171112[[#This Row],[start]]+Table171112[[#This Row],[duration]]</f>
        <v>#VALUE!</v>
      </c>
      <c r="C23" s="3"/>
      <c r="H23" s="1"/>
      <c r="J23" s="36" t="s">
        <v>28</v>
      </c>
      <c r="K23" s="4"/>
      <c r="L23" s="4"/>
      <c r="M23" s="4"/>
      <c r="N23" s="4"/>
      <c r="O23" s="4"/>
      <c r="P23" s="4"/>
      <c r="Q23" s="4"/>
    </row>
    <row r="24" spans="1:17" x14ac:dyDescent="0.3">
      <c r="A24" s="2" t="e">
        <f t="shared" si="0"/>
        <v>#VALUE!</v>
      </c>
      <c r="B24" s="2" t="e">
        <f>Table171112[[#This Row],[start]]+Table171112[[#This Row],[duration]]</f>
        <v>#VALUE!</v>
      </c>
      <c r="C24" s="3"/>
      <c r="H24" s="1"/>
      <c r="J24" s="36" t="s">
        <v>29</v>
      </c>
    </row>
    <row r="25" spans="1:17" x14ac:dyDescent="0.3">
      <c r="A25" s="2" t="e">
        <f t="shared" si="0"/>
        <v>#VALUE!</v>
      </c>
      <c r="B25" s="2" t="e">
        <f>Table171112[[#This Row],[start]]+Table171112[[#This Row],[duration]]</f>
        <v>#VALUE!</v>
      </c>
      <c r="C25" s="3"/>
      <c r="H25" s="1"/>
      <c r="J25" s="36" t="s">
        <v>30</v>
      </c>
    </row>
    <row r="26" spans="1:17" x14ac:dyDescent="0.3">
      <c r="A26" s="2" t="e">
        <f t="shared" si="0"/>
        <v>#VALUE!</v>
      </c>
      <c r="B26" s="2" t="e">
        <f>Table171112[[#This Row],[start]]+Table171112[[#This Row],[duration]]</f>
        <v>#VALUE!</v>
      </c>
      <c r="C26" s="3"/>
      <c r="H26" s="1"/>
      <c r="J26" s="36" t="s">
        <v>31</v>
      </c>
    </row>
    <row r="27" spans="1:17" x14ac:dyDescent="0.3">
      <c r="A27" s="2" t="e">
        <f t="shared" si="0"/>
        <v>#VALUE!</v>
      </c>
      <c r="B27" s="2" t="e">
        <f>Table171112[[#This Row],[start]]+Table171112[[#This Row],[duration]]</f>
        <v>#VALUE!</v>
      </c>
      <c r="C27" s="3"/>
      <c r="H27" s="1"/>
      <c r="J27" s="36" t="s">
        <v>32</v>
      </c>
    </row>
    <row r="28" spans="1:17" x14ac:dyDescent="0.3">
      <c r="A28" s="2" t="e">
        <f t="shared" si="0"/>
        <v>#VALUE!</v>
      </c>
      <c r="B28" s="2" t="e">
        <f>Table171112[[#This Row],[start]]+Table171112[[#This Row],[duration]]</f>
        <v>#VALUE!</v>
      </c>
      <c r="C28" s="3"/>
      <c r="H28" s="1"/>
    </row>
    <row r="29" spans="1:17" x14ac:dyDescent="0.3">
      <c r="A29" s="2" t="e">
        <f t="shared" si="0"/>
        <v>#VALUE!</v>
      </c>
      <c r="B29" s="2" t="e">
        <f>Table171112[[#This Row],[start]]+Table171112[[#This Row],[duration]]</f>
        <v>#VALUE!</v>
      </c>
      <c r="C29" s="3"/>
      <c r="H29" s="1"/>
    </row>
    <row r="30" spans="1:17" x14ac:dyDescent="0.3">
      <c r="A30" s="2" t="e">
        <f t="shared" si="0"/>
        <v>#VALUE!</v>
      </c>
      <c r="B30" s="2" t="e">
        <f>Table171112[[#This Row],[start]]+Table171112[[#This Row],[duration]]</f>
        <v>#VALUE!</v>
      </c>
      <c r="C30" s="3"/>
      <c r="H30" s="1"/>
    </row>
    <row r="31" spans="1:17" x14ac:dyDescent="0.3">
      <c r="A31" s="2" t="e">
        <f t="shared" si="0"/>
        <v>#VALUE!</v>
      </c>
      <c r="B31" s="2" t="e">
        <f>Table171112[[#This Row],[start]]+Table171112[[#This Row],[duration]]</f>
        <v>#VALUE!</v>
      </c>
      <c r="C31" s="3"/>
      <c r="H31" s="1"/>
    </row>
    <row r="32" spans="1:17" x14ac:dyDescent="0.3">
      <c r="A32" s="2" t="e">
        <f t="shared" si="0"/>
        <v>#VALUE!</v>
      </c>
      <c r="B32" s="2" t="e">
        <f>Table171112[[#This Row],[start]]+Table171112[[#This Row],[duration]]</f>
        <v>#VALUE!</v>
      </c>
      <c r="C32" s="3"/>
      <c r="H32" s="1"/>
    </row>
    <row r="33" spans="1:8" x14ac:dyDescent="0.3">
      <c r="A33" s="2" t="e">
        <f t="shared" si="0"/>
        <v>#VALUE!</v>
      </c>
      <c r="B33" s="2" t="e">
        <f>Table171112[[#This Row],[start]]+Table171112[[#This Row],[duration]]</f>
        <v>#VALUE!</v>
      </c>
      <c r="C33" s="3"/>
      <c r="H33" s="1"/>
    </row>
    <row r="34" spans="1:8" x14ac:dyDescent="0.3">
      <c r="A34" s="2" t="e">
        <f t="shared" si="0"/>
        <v>#VALUE!</v>
      </c>
      <c r="B34" s="2" t="e">
        <f>Table171112[[#This Row],[start]]+Table171112[[#This Row],[duration]]</f>
        <v>#VALUE!</v>
      </c>
      <c r="C34" s="3"/>
      <c r="H34" s="1"/>
    </row>
    <row r="35" spans="1:8" x14ac:dyDescent="0.3">
      <c r="A35" s="2" t="e">
        <f t="shared" si="0"/>
        <v>#VALUE!</v>
      </c>
      <c r="B35" s="2" t="e">
        <f>Table171112[[#This Row],[start]]+Table171112[[#This Row],[duration]]</f>
        <v>#VALUE!</v>
      </c>
      <c r="C35" s="3"/>
      <c r="H35" s="1"/>
    </row>
    <row r="36" spans="1:8" x14ac:dyDescent="0.3">
      <c r="A36" s="2" t="e">
        <f t="shared" si="0"/>
        <v>#VALUE!</v>
      </c>
      <c r="B36" s="2" t="e">
        <f>Table171112[[#This Row],[start]]+Table171112[[#This Row],[duration]]</f>
        <v>#VALUE!</v>
      </c>
      <c r="C36" s="3"/>
      <c r="H36" s="1"/>
    </row>
    <row r="37" spans="1:8" x14ac:dyDescent="0.3">
      <c r="A37" s="2" t="e">
        <f t="shared" si="0"/>
        <v>#VALUE!</v>
      </c>
      <c r="B37" s="2" t="e">
        <f>Table171112[[#This Row],[start]]+Table171112[[#This Row],[duration]]</f>
        <v>#VALUE!</v>
      </c>
      <c r="C37" s="3"/>
      <c r="H37" s="1"/>
    </row>
    <row r="38" spans="1:8" x14ac:dyDescent="0.3">
      <c r="A38" s="2" t="e">
        <f t="shared" si="0"/>
        <v>#VALUE!</v>
      </c>
      <c r="B38" s="2" t="e">
        <f>Table171112[[#This Row],[start]]+Table171112[[#This Row],[duration]]</f>
        <v>#VALUE!</v>
      </c>
      <c r="C38" s="3"/>
      <c r="H38" s="1"/>
    </row>
    <row r="39" spans="1:8" x14ac:dyDescent="0.3">
      <c r="A39" s="2" t="e">
        <f t="shared" si="0"/>
        <v>#VALUE!</v>
      </c>
      <c r="B39" s="2" t="e">
        <f>Table171112[[#This Row],[start]]+Table171112[[#This Row],[duration]]</f>
        <v>#VALUE!</v>
      </c>
      <c r="C39" s="3"/>
      <c r="H39" s="1"/>
    </row>
    <row r="40" spans="1:8" x14ac:dyDescent="0.3">
      <c r="A40" s="2" t="e">
        <f t="shared" si="0"/>
        <v>#VALUE!</v>
      </c>
      <c r="B40" s="2" t="e">
        <f>Table171112[[#This Row],[start]]+Table171112[[#This Row],[duration]]</f>
        <v>#VALUE!</v>
      </c>
      <c r="C40" s="3"/>
      <c r="H40" s="1"/>
    </row>
    <row r="41" spans="1:8" x14ac:dyDescent="0.3">
      <c r="A41" s="2" t="e">
        <f t="shared" si="0"/>
        <v>#VALUE!</v>
      </c>
      <c r="B41" s="2" t="e">
        <f>Table171112[[#This Row],[start]]+Table171112[[#This Row],[duration]]</f>
        <v>#VALUE!</v>
      </c>
      <c r="C41" s="3"/>
      <c r="H41" s="1"/>
    </row>
    <row r="42" spans="1:8" x14ac:dyDescent="0.3">
      <c r="A42" s="2" t="e">
        <f t="shared" si="0"/>
        <v>#VALUE!</v>
      </c>
      <c r="B42" s="2" t="e">
        <f>Table171112[[#This Row],[start]]+Table171112[[#This Row],[duration]]</f>
        <v>#VALUE!</v>
      </c>
      <c r="C42" s="3"/>
      <c r="H42" s="1"/>
    </row>
    <row r="43" spans="1:8" x14ac:dyDescent="0.3">
      <c r="A43" s="2" t="e">
        <f t="shared" si="0"/>
        <v>#VALUE!</v>
      </c>
      <c r="B43" s="2" t="e">
        <f>Table171112[[#This Row],[start]]+Table171112[[#This Row],[duration]]</f>
        <v>#VALUE!</v>
      </c>
      <c r="C43" s="3"/>
      <c r="H43" s="1"/>
    </row>
    <row r="44" spans="1:8" x14ac:dyDescent="0.3">
      <c r="A44" s="2" t="e">
        <f t="shared" si="0"/>
        <v>#VALUE!</v>
      </c>
      <c r="B44" s="2" t="e">
        <f>Table171112[[#This Row],[start]]+Table171112[[#This Row],[duration]]</f>
        <v>#VALUE!</v>
      </c>
      <c r="C44" s="3"/>
      <c r="H44" s="1"/>
    </row>
    <row r="45" spans="1:8" x14ac:dyDescent="0.3">
      <c r="A45" s="2" t="e">
        <f t="shared" si="0"/>
        <v>#VALUE!</v>
      </c>
      <c r="B45" s="2" t="e">
        <f>Table171112[[#This Row],[start]]+Table171112[[#This Row],[duration]]</f>
        <v>#VALUE!</v>
      </c>
      <c r="C45" s="3"/>
      <c r="H45" s="1"/>
    </row>
    <row r="46" spans="1:8" x14ac:dyDescent="0.3">
      <c r="A46" s="2" t="e">
        <f t="shared" si="0"/>
        <v>#VALUE!</v>
      </c>
      <c r="B46" s="2" t="e">
        <f>Table171112[[#This Row],[start]]+Table171112[[#This Row],[duration]]</f>
        <v>#VALUE!</v>
      </c>
      <c r="C46" s="3"/>
      <c r="H46" s="1"/>
    </row>
    <row r="47" spans="1:8" x14ac:dyDescent="0.3">
      <c r="A47" s="2" t="e">
        <f t="shared" si="0"/>
        <v>#VALUE!</v>
      </c>
      <c r="B47" s="2" t="e">
        <f>Table171112[[#This Row],[start]]+Table171112[[#This Row],[duration]]</f>
        <v>#VALUE!</v>
      </c>
      <c r="C47" s="3"/>
      <c r="H47" s="1"/>
    </row>
    <row r="48" spans="1:8" x14ac:dyDescent="0.3">
      <c r="A48" s="2" t="e">
        <f t="shared" si="0"/>
        <v>#VALUE!</v>
      </c>
      <c r="B48" s="2" t="e">
        <f>Table171112[[#This Row],[start]]+Table171112[[#This Row],[duration]]</f>
        <v>#VALUE!</v>
      </c>
      <c r="C48" s="3"/>
      <c r="H48" s="1"/>
    </row>
    <row r="49" spans="1:8" x14ac:dyDescent="0.3">
      <c r="A49" s="2" t="e">
        <f t="shared" si="0"/>
        <v>#VALUE!</v>
      </c>
      <c r="B49" s="2" t="e">
        <f>Table171112[[#This Row],[start]]+Table171112[[#This Row],[duration]]</f>
        <v>#VALUE!</v>
      </c>
      <c r="C49" s="3"/>
      <c r="H49" s="1"/>
    </row>
    <row r="50" spans="1:8" x14ac:dyDescent="0.3">
      <c r="A50" s="2" t="e">
        <f t="shared" si="0"/>
        <v>#VALUE!</v>
      </c>
      <c r="B50" s="2" t="e">
        <f>Table171112[[#This Row],[start]]+Table171112[[#This Row],[duration]]</f>
        <v>#VALUE!</v>
      </c>
      <c r="C50" s="3"/>
      <c r="H50" s="1"/>
    </row>
  </sheetData>
  <mergeCells count="1">
    <mergeCell ref="J8:J9"/>
  </mergeCell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J50"/>
  <sheetViews>
    <sheetView showGridLines="0" workbookViewId="0">
      <selection activeCell="A13" sqref="A13"/>
    </sheetView>
  </sheetViews>
  <sheetFormatPr defaultColWidth="8.88671875" defaultRowHeight="14.4" x14ac:dyDescent="0.3"/>
  <cols>
    <col min="1" max="1" width="11.109375" style="2" customWidth="1"/>
    <col min="2" max="2" width="8.6640625" style="2" customWidth="1"/>
    <col min="3" max="3" width="13.109375" style="2" customWidth="1"/>
    <col min="4" max="5" width="8.88671875" style="2"/>
    <col min="6" max="6" width="11" style="2" bestFit="1" customWidth="1"/>
    <col min="7" max="7" width="9.6640625" style="27" customWidth="1"/>
    <col min="8" max="8" width="28.6640625" customWidth="1"/>
    <col min="10" max="10" width="80.6640625" customWidth="1"/>
  </cols>
  <sheetData>
    <row r="1" spans="1:10" x14ac:dyDescent="0.3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7" t="s">
        <v>8</v>
      </c>
      <c r="H1" s="1" t="s">
        <v>9</v>
      </c>
    </row>
    <row r="2" spans="1:10" x14ac:dyDescent="0.3">
      <c r="A2" s="3">
        <v>0</v>
      </c>
      <c r="B2" s="2">
        <f>Table1342[[#This Row],[start]]+Table1342[[#This Row],[duration]]</f>
        <v>17</v>
      </c>
      <c r="C2" s="3">
        <v>17</v>
      </c>
      <c r="D2" s="2">
        <v>0</v>
      </c>
      <c r="E2" s="2">
        <v>0</v>
      </c>
      <c r="F2" s="2">
        <v>0</v>
      </c>
      <c r="G2" s="27" t="s">
        <v>0</v>
      </c>
      <c r="H2" s="1" t="s">
        <v>1</v>
      </c>
      <c r="J2" s="8" t="s">
        <v>10</v>
      </c>
    </row>
    <row r="3" spans="1:10" x14ac:dyDescent="0.3">
      <c r="A3" s="2">
        <f t="shared" ref="A3:A50" si="0">B2</f>
        <v>17</v>
      </c>
      <c r="B3" s="2" t="e">
        <f>Table1342[[#This Row],[start]]+Table1342[[#This Row],[duration]]</f>
        <v>#VALUE!</v>
      </c>
      <c r="C3" s="3"/>
      <c r="H3" s="1"/>
      <c r="J3" t="str" cm="1">
        <f t="array" ref="J3">ExcelToJSON(Table1342[#All])</f>
        <v>[{"start":"0","end":"17","duration":"17","x":"0","y":"0","rotation":"0","actions":"D","comment":"Stop driving"}]</v>
      </c>
    </row>
    <row r="4" spans="1:10" x14ac:dyDescent="0.3">
      <c r="A4" s="2" t="e">
        <f t="shared" si="0"/>
        <v>#VALUE!</v>
      </c>
      <c r="B4" s="2" t="e">
        <f>Table1342[[#This Row],[start]]+Table1342[[#This Row],[duration]]</f>
        <v>#VALUE!</v>
      </c>
      <c r="C4" s="3"/>
      <c r="H4" s="1"/>
    </row>
    <row r="5" spans="1:10" x14ac:dyDescent="0.3">
      <c r="A5" s="2" t="e">
        <f t="shared" si="0"/>
        <v>#VALUE!</v>
      </c>
      <c r="B5" s="2" t="e">
        <f>Table1342[[#This Row],[start]]+Table1342[[#This Row],[duration]]</f>
        <v>#VALUE!</v>
      </c>
      <c r="C5" s="3"/>
      <c r="H5" s="1"/>
    </row>
    <row r="6" spans="1:10" x14ac:dyDescent="0.3">
      <c r="A6" s="2" t="e">
        <f t="shared" si="0"/>
        <v>#VALUE!</v>
      </c>
      <c r="B6" s="2" t="e">
        <f>Table1342[[#This Row],[start]]+Table1342[[#This Row],[duration]]</f>
        <v>#VALUE!</v>
      </c>
      <c r="C6" s="3"/>
      <c r="H6" s="1"/>
    </row>
    <row r="7" spans="1:10" x14ac:dyDescent="0.3">
      <c r="A7" s="2" t="e">
        <f t="shared" si="0"/>
        <v>#VALUE!</v>
      </c>
      <c r="B7" s="2" t="e">
        <f>#REF!+#REF!</f>
        <v>#REF!</v>
      </c>
      <c r="C7" s="3"/>
      <c r="H7" s="1"/>
      <c r="J7" s="9" t="s">
        <v>11</v>
      </c>
    </row>
    <row r="8" spans="1:10" x14ac:dyDescent="0.3">
      <c r="A8" s="2" t="e">
        <f t="shared" si="0"/>
        <v>#REF!</v>
      </c>
      <c r="B8" s="2" t="e">
        <f>#REF!+#REF!</f>
        <v>#REF!</v>
      </c>
      <c r="C8" s="3"/>
      <c r="H8" s="1"/>
      <c r="J8" s="37" t="s">
        <v>12</v>
      </c>
    </row>
    <row r="9" spans="1:10" x14ac:dyDescent="0.3">
      <c r="A9" s="2" t="e">
        <f t="shared" si="0"/>
        <v>#REF!</v>
      </c>
      <c r="B9" s="2" t="e">
        <f>#REF!+#REF!</f>
        <v>#REF!</v>
      </c>
      <c r="C9" s="3"/>
      <c r="H9" s="1"/>
      <c r="J9" s="37"/>
    </row>
    <row r="10" spans="1:10" x14ac:dyDescent="0.3">
      <c r="A10" s="2" t="e">
        <f t="shared" si="0"/>
        <v>#REF!</v>
      </c>
      <c r="B10" s="2" t="e">
        <f>#REF!+#REF!</f>
        <v>#REF!</v>
      </c>
      <c r="C10" s="3"/>
      <c r="H10" s="1"/>
    </row>
    <row r="11" spans="1:10" x14ac:dyDescent="0.3">
      <c r="A11" s="2" t="e">
        <f t="shared" si="0"/>
        <v>#REF!</v>
      </c>
      <c r="B11" s="2" t="e">
        <f>#REF!+#REF!</f>
        <v>#REF!</v>
      </c>
      <c r="C11" s="3"/>
      <c r="H11" s="1"/>
      <c r="J11" s="9" t="s">
        <v>23</v>
      </c>
    </row>
    <row r="12" spans="1:10" x14ac:dyDescent="0.3">
      <c r="A12" s="2" t="e">
        <f t="shared" si="0"/>
        <v>#REF!</v>
      </c>
      <c r="B12" s="2" t="e">
        <f>#REF!+#REF!</f>
        <v>#REF!</v>
      </c>
      <c r="C12" s="3"/>
      <c r="H12" s="1"/>
      <c r="J12" t="s">
        <v>35</v>
      </c>
    </row>
    <row r="13" spans="1:10" x14ac:dyDescent="0.3">
      <c r="A13" s="2" t="e">
        <f t="shared" si="0"/>
        <v>#REF!</v>
      </c>
      <c r="B13" s="2" t="e">
        <f>Table1342[[#This Row],[start]]+Table1342[[#This Row],[duration]]</f>
        <v>#VALUE!</v>
      </c>
      <c r="C13" s="3"/>
      <c r="H13" s="1"/>
      <c r="J13" t="s">
        <v>36</v>
      </c>
    </row>
    <row r="14" spans="1:10" x14ac:dyDescent="0.3">
      <c r="A14" s="2" t="e">
        <f t="shared" si="0"/>
        <v>#VALUE!</v>
      </c>
      <c r="B14" s="2" t="e">
        <f>Table1342[[#This Row],[start]]+Table1342[[#This Row],[duration]]</f>
        <v>#VALUE!</v>
      </c>
      <c r="C14" s="3"/>
      <c r="H14" s="1"/>
      <c r="J14" t="s">
        <v>37</v>
      </c>
    </row>
    <row r="15" spans="1:10" x14ac:dyDescent="0.3">
      <c r="A15" s="2" t="e">
        <f t="shared" si="0"/>
        <v>#VALUE!</v>
      </c>
      <c r="B15" s="2" t="e">
        <f>Table1342[[#This Row],[start]]+Table1342[[#This Row],[duration]]</f>
        <v>#VALUE!</v>
      </c>
      <c r="C15" s="3"/>
      <c r="H15" s="1"/>
      <c r="J15" t="s">
        <v>38</v>
      </c>
    </row>
    <row r="16" spans="1:10" x14ac:dyDescent="0.3">
      <c r="A16" s="2" t="e">
        <f t="shared" si="0"/>
        <v>#VALUE!</v>
      </c>
      <c r="B16" s="2" t="e">
        <f>Table1342[[#This Row],[start]]+Table1342[[#This Row],[duration]]</f>
        <v>#VALUE!</v>
      </c>
      <c r="C16" s="3"/>
      <c r="H16" s="1"/>
      <c r="J16" t="s">
        <v>24</v>
      </c>
    </row>
    <row r="17" spans="1:10" x14ac:dyDescent="0.3">
      <c r="A17" s="2" t="e">
        <f t="shared" si="0"/>
        <v>#VALUE!</v>
      </c>
      <c r="B17" s="2" t="e">
        <f>Table1342[[#This Row],[start]]+Table1342[[#This Row],[duration]]</f>
        <v>#VALUE!</v>
      </c>
      <c r="C17" s="3"/>
      <c r="H17" s="1"/>
      <c r="J17" t="s">
        <v>39</v>
      </c>
    </row>
    <row r="18" spans="1:10" x14ac:dyDescent="0.3">
      <c r="A18" s="2" t="e">
        <f t="shared" si="0"/>
        <v>#VALUE!</v>
      </c>
      <c r="B18" s="2" t="e">
        <f>Table1342[[#This Row],[start]]+Table1342[[#This Row],[duration]]</f>
        <v>#VALUE!</v>
      </c>
      <c r="C18" s="3"/>
      <c r="H18" s="1"/>
      <c r="J18" t="s">
        <v>40</v>
      </c>
    </row>
    <row r="19" spans="1:10" x14ac:dyDescent="0.3">
      <c r="A19" s="2" t="e">
        <f t="shared" si="0"/>
        <v>#VALUE!</v>
      </c>
      <c r="B19" s="2" t="e">
        <f>Table1342[[#This Row],[start]]+Table1342[[#This Row],[duration]]</f>
        <v>#VALUE!</v>
      </c>
      <c r="C19" s="3"/>
      <c r="H19" s="1"/>
      <c r="J19" t="s">
        <v>41</v>
      </c>
    </row>
    <row r="20" spans="1:10" x14ac:dyDescent="0.3">
      <c r="A20" s="2" t="e">
        <f t="shared" si="0"/>
        <v>#VALUE!</v>
      </c>
      <c r="B20" s="2" t="e">
        <f>Table1342[[#This Row],[start]]+Table1342[[#This Row],[duration]]</f>
        <v>#VALUE!</v>
      </c>
      <c r="C20" s="3"/>
      <c r="H20" s="1"/>
      <c r="J20" t="s">
        <v>42</v>
      </c>
    </row>
    <row r="21" spans="1:10" x14ac:dyDescent="0.3">
      <c r="A21" s="2" t="e">
        <f t="shared" si="0"/>
        <v>#VALUE!</v>
      </c>
      <c r="B21" s="2" t="e">
        <f>Table1342[[#This Row],[start]]+Table1342[[#This Row],[duration]]</f>
        <v>#VALUE!</v>
      </c>
      <c r="C21" s="3"/>
      <c r="H21" s="1"/>
    </row>
    <row r="22" spans="1:10" x14ac:dyDescent="0.3">
      <c r="A22" s="2" t="e">
        <f t="shared" si="0"/>
        <v>#VALUE!</v>
      </c>
      <c r="B22" s="2" t="e">
        <f>Table1342[[#This Row],[start]]+Table1342[[#This Row],[duration]]</f>
        <v>#VALUE!</v>
      </c>
      <c r="C22" s="3"/>
      <c r="H22" s="1"/>
      <c r="J22" s="36" t="s">
        <v>27</v>
      </c>
    </row>
    <row r="23" spans="1:10" x14ac:dyDescent="0.3">
      <c r="A23" s="2" t="e">
        <f t="shared" si="0"/>
        <v>#VALUE!</v>
      </c>
      <c r="B23" s="2" t="e">
        <f>Table1342[[#This Row],[start]]+Table1342[[#This Row],[duration]]</f>
        <v>#VALUE!</v>
      </c>
      <c r="C23" s="3"/>
      <c r="H23" s="1"/>
      <c r="J23" s="36" t="s">
        <v>28</v>
      </c>
    </row>
    <row r="24" spans="1:10" x14ac:dyDescent="0.3">
      <c r="A24" s="2" t="e">
        <f t="shared" si="0"/>
        <v>#VALUE!</v>
      </c>
      <c r="B24" s="2" t="e">
        <f>Table1342[[#This Row],[start]]+Table1342[[#This Row],[duration]]</f>
        <v>#VALUE!</v>
      </c>
      <c r="C24" s="3"/>
      <c r="H24" s="1"/>
      <c r="J24" s="36" t="s">
        <v>29</v>
      </c>
    </row>
    <row r="25" spans="1:10" x14ac:dyDescent="0.3">
      <c r="A25" s="2" t="e">
        <f t="shared" si="0"/>
        <v>#VALUE!</v>
      </c>
      <c r="B25" s="2" t="e">
        <f>Table1342[[#This Row],[start]]+Table1342[[#This Row],[duration]]</f>
        <v>#VALUE!</v>
      </c>
      <c r="C25" s="3"/>
      <c r="H25" s="1"/>
      <c r="J25" s="36" t="s">
        <v>30</v>
      </c>
    </row>
    <row r="26" spans="1:10" x14ac:dyDescent="0.3">
      <c r="A26" s="2" t="e">
        <f t="shared" si="0"/>
        <v>#VALUE!</v>
      </c>
      <c r="B26" s="2" t="e">
        <f>Table1342[[#This Row],[start]]+Table1342[[#This Row],[duration]]</f>
        <v>#VALUE!</v>
      </c>
      <c r="C26" s="3"/>
      <c r="H26" s="1"/>
      <c r="J26" s="36" t="s">
        <v>31</v>
      </c>
    </row>
    <row r="27" spans="1:10" x14ac:dyDescent="0.3">
      <c r="A27" s="2" t="e">
        <f t="shared" si="0"/>
        <v>#VALUE!</v>
      </c>
      <c r="B27" s="2" t="e">
        <f>Table1342[[#This Row],[start]]+Table1342[[#This Row],[duration]]</f>
        <v>#VALUE!</v>
      </c>
      <c r="C27" s="3"/>
      <c r="H27" s="1"/>
      <c r="J27" s="36" t="s">
        <v>32</v>
      </c>
    </row>
    <row r="28" spans="1:10" x14ac:dyDescent="0.3">
      <c r="A28" s="2" t="e">
        <f t="shared" si="0"/>
        <v>#VALUE!</v>
      </c>
      <c r="B28" s="2" t="e">
        <f>Table1342[[#This Row],[start]]+Table1342[[#This Row],[duration]]</f>
        <v>#VALUE!</v>
      </c>
      <c r="C28" s="3"/>
      <c r="H28" s="1"/>
    </row>
    <row r="29" spans="1:10" x14ac:dyDescent="0.3">
      <c r="A29" s="2" t="e">
        <f t="shared" si="0"/>
        <v>#VALUE!</v>
      </c>
      <c r="B29" s="2" t="e">
        <f>Table1342[[#This Row],[start]]+Table1342[[#This Row],[duration]]</f>
        <v>#VALUE!</v>
      </c>
      <c r="C29" s="3"/>
      <c r="H29" s="1"/>
    </row>
    <row r="30" spans="1:10" x14ac:dyDescent="0.3">
      <c r="A30" s="2" t="e">
        <f t="shared" si="0"/>
        <v>#VALUE!</v>
      </c>
      <c r="B30" s="2" t="e">
        <f>Table1342[[#This Row],[start]]+Table1342[[#This Row],[duration]]</f>
        <v>#VALUE!</v>
      </c>
      <c r="C30" s="3"/>
      <c r="H30" s="1"/>
    </row>
    <row r="31" spans="1:10" x14ac:dyDescent="0.3">
      <c r="A31" s="2" t="e">
        <f t="shared" si="0"/>
        <v>#VALUE!</v>
      </c>
      <c r="B31" s="2" t="e">
        <f>Table1342[[#This Row],[start]]+Table1342[[#This Row],[duration]]</f>
        <v>#VALUE!</v>
      </c>
      <c r="C31" s="3"/>
      <c r="H31" s="1"/>
    </row>
    <row r="32" spans="1:10" x14ac:dyDescent="0.3">
      <c r="A32" s="2" t="e">
        <f t="shared" si="0"/>
        <v>#VALUE!</v>
      </c>
      <c r="B32" s="2" t="e">
        <f>Table1342[[#This Row],[start]]+Table1342[[#This Row],[duration]]</f>
        <v>#VALUE!</v>
      </c>
      <c r="C32" s="3"/>
      <c r="H32" s="1"/>
    </row>
    <row r="33" spans="1:8" x14ac:dyDescent="0.3">
      <c r="A33" s="2" t="e">
        <f t="shared" si="0"/>
        <v>#VALUE!</v>
      </c>
      <c r="B33" s="2" t="e">
        <f>Table1342[[#This Row],[start]]+Table1342[[#This Row],[duration]]</f>
        <v>#VALUE!</v>
      </c>
      <c r="C33" s="3"/>
      <c r="H33" s="1"/>
    </row>
    <row r="34" spans="1:8" x14ac:dyDescent="0.3">
      <c r="A34" s="2" t="e">
        <f t="shared" si="0"/>
        <v>#VALUE!</v>
      </c>
      <c r="B34" s="2" t="e">
        <f>Table1342[[#This Row],[start]]+Table1342[[#This Row],[duration]]</f>
        <v>#VALUE!</v>
      </c>
      <c r="C34" s="3"/>
      <c r="H34" s="1"/>
    </row>
    <row r="35" spans="1:8" x14ac:dyDescent="0.3">
      <c r="A35" s="2" t="e">
        <f t="shared" si="0"/>
        <v>#VALUE!</v>
      </c>
      <c r="B35" s="2" t="e">
        <f>Table1342[[#This Row],[start]]+Table1342[[#This Row],[duration]]</f>
        <v>#VALUE!</v>
      </c>
      <c r="C35" s="3"/>
      <c r="H35" s="1"/>
    </row>
    <row r="36" spans="1:8" x14ac:dyDescent="0.3">
      <c r="A36" s="2" t="e">
        <f t="shared" si="0"/>
        <v>#VALUE!</v>
      </c>
      <c r="B36" s="2" t="e">
        <f>Table1342[[#This Row],[start]]+Table1342[[#This Row],[duration]]</f>
        <v>#VALUE!</v>
      </c>
      <c r="C36" s="3"/>
      <c r="H36" s="1"/>
    </row>
    <row r="37" spans="1:8" x14ac:dyDescent="0.3">
      <c r="A37" s="2" t="e">
        <f t="shared" si="0"/>
        <v>#VALUE!</v>
      </c>
      <c r="B37" s="2" t="e">
        <f>Table1342[[#This Row],[start]]+Table1342[[#This Row],[duration]]</f>
        <v>#VALUE!</v>
      </c>
      <c r="C37" s="3"/>
      <c r="H37" s="1"/>
    </row>
    <row r="38" spans="1:8" x14ac:dyDescent="0.3">
      <c r="A38" s="2" t="e">
        <f t="shared" si="0"/>
        <v>#VALUE!</v>
      </c>
      <c r="B38" s="2" t="e">
        <f>Table1342[[#This Row],[start]]+Table1342[[#This Row],[duration]]</f>
        <v>#VALUE!</v>
      </c>
      <c r="C38" s="3"/>
      <c r="H38" s="1"/>
    </row>
    <row r="39" spans="1:8" x14ac:dyDescent="0.3">
      <c r="A39" s="2" t="e">
        <f t="shared" si="0"/>
        <v>#VALUE!</v>
      </c>
      <c r="B39" s="2" t="e">
        <f>Table1342[[#This Row],[start]]+Table1342[[#This Row],[duration]]</f>
        <v>#VALUE!</v>
      </c>
      <c r="C39" s="3"/>
      <c r="H39" s="1"/>
    </row>
    <row r="40" spans="1:8" x14ac:dyDescent="0.3">
      <c r="A40" s="2" t="e">
        <f t="shared" si="0"/>
        <v>#VALUE!</v>
      </c>
      <c r="B40" s="2" t="e">
        <f>Table1342[[#This Row],[start]]+Table1342[[#This Row],[duration]]</f>
        <v>#VALUE!</v>
      </c>
      <c r="C40" s="3"/>
      <c r="H40" s="1"/>
    </row>
    <row r="41" spans="1:8" x14ac:dyDescent="0.3">
      <c r="A41" s="2" t="e">
        <f t="shared" si="0"/>
        <v>#VALUE!</v>
      </c>
      <c r="B41" s="2" t="e">
        <f>Table1342[[#This Row],[start]]+Table1342[[#This Row],[duration]]</f>
        <v>#VALUE!</v>
      </c>
      <c r="C41" s="3"/>
      <c r="H41" s="1"/>
    </row>
    <row r="42" spans="1:8" x14ac:dyDescent="0.3">
      <c r="A42" s="2" t="e">
        <f t="shared" si="0"/>
        <v>#VALUE!</v>
      </c>
      <c r="B42" s="2" t="e">
        <f>Table1342[[#This Row],[start]]+Table1342[[#This Row],[duration]]</f>
        <v>#VALUE!</v>
      </c>
      <c r="C42" s="3"/>
      <c r="H42" s="1"/>
    </row>
    <row r="43" spans="1:8" x14ac:dyDescent="0.3">
      <c r="A43" s="2" t="e">
        <f t="shared" si="0"/>
        <v>#VALUE!</v>
      </c>
      <c r="B43" s="2" t="e">
        <f>Table1342[[#This Row],[start]]+Table1342[[#This Row],[duration]]</f>
        <v>#VALUE!</v>
      </c>
      <c r="C43" s="3"/>
      <c r="H43" s="1"/>
    </row>
    <row r="44" spans="1:8" x14ac:dyDescent="0.3">
      <c r="A44" s="2" t="e">
        <f t="shared" si="0"/>
        <v>#VALUE!</v>
      </c>
      <c r="B44" s="2" t="e">
        <f>Table1342[[#This Row],[start]]+Table1342[[#This Row],[duration]]</f>
        <v>#VALUE!</v>
      </c>
      <c r="C44" s="3"/>
      <c r="H44" s="1"/>
    </row>
    <row r="45" spans="1:8" x14ac:dyDescent="0.3">
      <c r="A45" s="2" t="e">
        <f t="shared" si="0"/>
        <v>#VALUE!</v>
      </c>
      <c r="B45" s="2" t="e">
        <f>Table1342[[#This Row],[start]]+Table1342[[#This Row],[duration]]</f>
        <v>#VALUE!</v>
      </c>
      <c r="C45" s="3"/>
      <c r="H45" s="1"/>
    </row>
    <row r="46" spans="1:8" x14ac:dyDescent="0.3">
      <c r="A46" s="2" t="e">
        <f t="shared" si="0"/>
        <v>#VALUE!</v>
      </c>
      <c r="B46" s="2" t="e">
        <f>Table1342[[#This Row],[start]]+Table1342[[#This Row],[duration]]</f>
        <v>#VALUE!</v>
      </c>
      <c r="C46" s="3"/>
      <c r="H46" s="1"/>
    </row>
    <row r="47" spans="1:8" x14ac:dyDescent="0.3">
      <c r="A47" s="2" t="e">
        <f t="shared" si="0"/>
        <v>#VALUE!</v>
      </c>
      <c r="B47" s="2" t="e">
        <f>Table1342[[#This Row],[start]]+Table1342[[#This Row],[duration]]</f>
        <v>#VALUE!</v>
      </c>
      <c r="C47" s="3"/>
      <c r="H47" s="1"/>
    </row>
    <row r="48" spans="1:8" x14ac:dyDescent="0.3">
      <c r="A48" s="2" t="e">
        <f t="shared" si="0"/>
        <v>#VALUE!</v>
      </c>
      <c r="B48" s="2" t="e">
        <f>Table1342[[#This Row],[start]]+Table1342[[#This Row],[duration]]</f>
        <v>#VALUE!</v>
      </c>
      <c r="C48" s="3"/>
      <c r="H48" s="1"/>
    </row>
    <row r="49" spans="1:8" x14ac:dyDescent="0.3">
      <c r="A49" s="2" t="e">
        <f t="shared" si="0"/>
        <v>#VALUE!</v>
      </c>
      <c r="B49" s="2" t="e">
        <f>Table1342[[#This Row],[start]]+Table1342[[#This Row],[duration]]</f>
        <v>#VALUE!</v>
      </c>
      <c r="C49" s="3"/>
      <c r="H49" s="1"/>
    </row>
    <row r="50" spans="1:8" x14ac:dyDescent="0.3">
      <c r="A50" s="2" t="e">
        <f t="shared" si="0"/>
        <v>#VALUE!</v>
      </c>
      <c r="B50" s="2" t="e">
        <f>Table1342[[#This Row],[start]]+Table1342[[#This Row],[duration]]</f>
        <v>#VALUE!</v>
      </c>
      <c r="C50" s="3"/>
      <c r="H50" s="1"/>
    </row>
  </sheetData>
  <mergeCells count="1">
    <mergeCell ref="J8:J9"/>
  </mergeCell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P21"/>
  <sheetViews>
    <sheetView showGridLines="0" topLeftCell="A4" workbookViewId="0">
      <selection activeCell="D14" sqref="D14"/>
    </sheetView>
  </sheetViews>
  <sheetFormatPr defaultColWidth="8.88671875" defaultRowHeight="14.4" x14ac:dyDescent="0.3"/>
  <cols>
    <col min="1" max="2" width="3.88671875" customWidth="1"/>
    <col min="3" max="3" width="29.6640625" customWidth="1"/>
    <col min="4" max="4" width="10.44140625" bestFit="1" customWidth="1"/>
    <col min="5" max="7" width="3.88671875" customWidth="1"/>
    <col min="8" max="8" width="29.6640625" customWidth="1"/>
    <col min="9" max="9" width="9.6640625" customWidth="1"/>
    <col min="10" max="12" width="3.88671875" customWidth="1"/>
    <col min="13" max="13" width="31" customWidth="1"/>
    <col min="14" max="14" width="9.6640625" customWidth="1"/>
    <col min="15" max="16" width="3.88671875" customWidth="1"/>
  </cols>
  <sheetData>
    <row r="1" spans="1:16" ht="15" thickBot="1" x14ac:dyDescent="0.3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</row>
    <row r="2" spans="1:16" ht="15" thickBot="1" x14ac:dyDescent="0.35">
      <c r="A2" s="10"/>
      <c r="B2" s="14"/>
      <c r="C2" s="15"/>
      <c r="D2" s="16"/>
      <c r="E2" s="17"/>
      <c r="F2" s="10"/>
      <c r="G2" s="14"/>
      <c r="H2" s="15"/>
      <c r="I2" s="16"/>
      <c r="J2" s="17"/>
      <c r="K2" s="10"/>
      <c r="L2" s="14"/>
      <c r="M2" s="15"/>
      <c r="N2" s="16"/>
      <c r="O2" s="17"/>
      <c r="P2" s="10"/>
    </row>
    <row r="3" spans="1:16" ht="21.6" thickBot="1" x14ac:dyDescent="0.45">
      <c r="A3" s="10"/>
      <c r="B3" s="18"/>
      <c r="C3" s="12" t="s">
        <v>13</v>
      </c>
      <c r="D3" s="24">
        <v>57</v>
      </c>
      <c r="E3" s="19"/>
      <c r="F3" s="10"/>
      <c r="G3" s="18"/>
      <c r="H3" s="12" t="s">
        <v>14</v>
      </c>
      <c r="I3" s="24">
        <v>50</v>
      </c>
      <c r="J3" s="19"/>
      <c r="K3" s="10"/>
      <c r="L3" s="18"/>
      <c r="M3" s="12" t="s">
        <v>14</v>
      </c>
      <c r="N3" s="24">
        <v>35.1</v>
      </c>
      <c r="O3" s="19"/>
      <c r="P3" s="10"/>
    </row>
    <row r="4" spans="1:16" ht="21.6" thickBot="1" x14ac:dyDescent="0.45">
      <c r="A4" s="10"/>
      <c r="B4" s="18"/>
      <c r="C4" s="12" t="s">
        <v>15</v>
      </c>
      <c r="D4" s="24">
        <v>40</v>
      </c>
      <c r="E4" s="19"/>
      <c r="F4" s="10"/>
      <c r="G4" s="18"/>
      <c r="H4" s="12" t="s">
        <v>13</v>
      </c>
      <c r="I4" s="24">
        <v>1.2</v>
      </c>
      <c r="J4" s="19"/>
      <c r="K4" s="10"/>
      <c r="L4" s="18"/>
      <c r="M4" s="12" t="s">
        <v>15</v>
      </c>
      <c r="N4" s="24">
        <v>0.5</v>
      </c>
      <c r="O4" s="19"/>
      <c r="P4" s="10"/>
    </row>
    <row r="5" spans="1:16" ht="15" thickBot="1" x14ac:dyDescent="0.35">
      <c r="A5" s="10"/>
      <c r="B5" s="18"/>
      <c r="C5" s="20"/>
      <c r="D5" s="11"/>
      <c r="E5" s="19"/>
      <c r="F5" s="10"/>
      <c r="G5" s="18"/>
      <c r="H5" s="20"/>
      <c r="I5" s="11"/>
      <c r="J5" s="19"/>
      <c r="K5" s="10"/>
      <c r="L5" s="18"/>
      <c r="M5" s="20"/>
      <c r="N5" s="11"/>
      <c r="O5" s="19"/>
      <c r="P5" s="10"/>
    </row>
    <row r="6" spans="1:16" ht="21.6" thickBot="1" x14ac:dyDescent="0.45">
      <c r="A6" s="10"/>
      <c r="B6" s="18"/>
      <c r="C6" s="12" t="s">
        <v>14</v>
      </c>
      <c r="D6" s="25">
        <f>DEGREES(ATAN(D4/D3))</f>
        <v>35.059426966886974</v>
      </c>
      <c r="E6" s="19"/>
      <c r="F6" s="10"/>
      <c r="G6" s="18"/>
      <c r="H6" s="12" t="s">
        <v>15</v>
      </c>
      <c r="I6" s="26">
        <f>I4*TAN(RADIANS(I3))</f>
        <v>1.430104311113052</v>
      </c>
      <c r="J6" s="19"/>
      <c r="K6" s="10"/>
      <c r="L6" s="18"/>
      <c r="M6" s="12" t="s">
        <v>13</v>
      </c>
      <c r="N6" s="26">
        <f>N4/TAN(RADIANS(N3))</f>
        <v>0.71142803871593518</v>
      </c>
      <c r="O6" s="19"/>
      <c r="P6" s="10"/>
    </row>
    <row r="7" spans="1:16" ht="15" thickBot="1" x14ac:dyDescent="0.35">
      <c r="A7" s="10"/>
      <c r="B7" s="21"/>
      <c r="C7" s="22"/>
      <c r="D7" s="22"/>
      <c r="E7" s="23"/>
      <c r="F7" s="10"/>
      <c r="G7" s="21"/>
      <c r="H7" s="22"/>
      <c r="I7" s="22"/>
      <c r="J7" s="23"/>
      <c r="K7" s="10"/>
      <c r="L7" s="21"/>
      <c r="M7" s="22"/>
      <c r="N7" s="22"/>
      <c r="O7" s="23"/>
      <c r="P7" s="10"/>
    </row>
    <row r="8" spans="1:16" ht="15" thickBot="1" x14ac:dyDescent="0.3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</row>
    <row r="9" spans="1:16" ht="15" thickBot="1" x14ac:dyDescent="0.35">
      <c r="A9" s="10"/>
      <c r="B9" s="14"/>
      <c r="C9" s="15"/>
      <c r="D9" s="16"/>
      <c r="E9" s="17"/>
      <c r="F9" s="10"/>
      <c r="G9" s="14"/>
      <c r="H9" s="15"/>
      <c r="I9" s="16"/>
      <c r="J9" s="17"/>
      <c r="K9" s="10"/>
      <c r="L9" s="14"/>
      <c r="M9" s="15"/>
      <c r="N9" s="16"/>
      <c r="O9" s="17"/>
      <c r="P9" s="10"/>
    </row>
    <row r="10" spans="1:16" ht="21.6" thickBot="1" x14ac:dyDescent="0.45">
      <c r="A10" s="10"/>
      <c r="B10" s="18"/>
      <c r="C10" s="12" t="s">
        <v>16</v>
      </c>
      <c r="D10" s="24">
        <v>4</v>
      </c>
      <c r="E10" s="19"/>
      <c r="F10" s="10"/>
      <c r="G10" s="18"/>
      <c r="H10" s="12" t="s">
        <v>16</v>
      </c>
      <c r="I10" s="24">
        <v>4</v>
      </c>
      <c r="J10" s="19"/>
      <c r="K10" s="10"/>
      <c r="L10" s="18"/>
      <c r="M10" s="12" t="s">
        <v>16</v>
      </c>
      <c r="N10" s="24">
        <v>4</v>
      </c>
      <c r="O10" s="19"/>
      <c r="P10" s="10"/>
    </row>
    <row r="11" spans="1:16" ht="21.6" thickBot="1" x14ac:dyDescent="0.45">
      <c r="A11" s="10"/>
      <c r="B11" s="18"/>
      <c r="C11" s="12" t="s">
        <v>17</v>
      </c>
      <c r="D11" s="24">
        <v>0.5</v>
      </c>
      <c r="E11" s="19"/>
      <c r="F11" s="10"/>
      <c r="G11" s="18"/>
      <c r="H11" s="12" t="s">
        <v>17</v>
      </c>
      <c r="I11" s="24">
        <v>0.5</v>
      </c>
      <c r="J11" s="19"/>
      <c r="K11" s="10"/>
      <c r="L11" s="18"/>
      <c r="M11" s="12" t="s">
        <v>13</v>
      </c>
      <c r="N11" s="24">
        <v>0.25</v>
      </c>
      <c r="O11" s="19"/>
      <c r="P11" s="10"/>
    </row>
    <row r="12" spans="1:16" ht="21.6" thickBot="1" x14ac:dyDescent="0.45">
      <c r="A12" s="10"/>
      <c r="B12" s="18"/>
      <c r="C12" s="12" t="s">
        <v>18</v>
      </c>
      <c r="D12" s="24">
        <v>3</v>
      </c>
      <c r="E12" s="19"/>
      <c r="F12" s="10"/>
      <c r="G12" s="18"/>
      <c r="H12" s="12" t="s">
        <v>19</v>
      </c>
      <c r="I12" s="24">
        <v>3</v>
      </c>
      <c r="J12" s="19"/>
      <c r="K12" s="10"/>
      <c r="L12" s="18"/>
      <c r="M12" s="12" t="s">
        <v>15</v>
      </c>
      <c r="N12" s="24">
        <v>0.625</v>
      </c>
      <c r="O12" s="19"/>
      <c r="P12" s="10"/>
    </row>
    <row r="13" spans="1:16" ht="21.6" thickBot="1" x14ac:dyDescent="0.45">
      <c r="A13" s="10"/>
      <c r="B13" s="18"/>
      <c r="C13" s="20"/>
      <c r="D13" s="11"/>
      <c r="E13" s="19"/>
      <c r="F13" s="10"/>
      <c r="G13" s="18"/>
      <c r="H13" s="20"/>
      <c r="I13" s="11"/>
      <c r="J13" s="19"/>
      <c r="K13" s="10"/>
      <c r="L13" s="18"/>
      <c r="M13" s="12" t="s">
        <v>19</v>
      </c>
      <c r="N13" s="24">
        <v>12</v>
      </c>
      <c r="O13" s="19"/>
      <c r="P13" s="10"/>
    </row>
    <row r="14" spans="1:16" ht="21.6" thickBot="1" x14ac:dyDescent="0.45">
      <c r="A14" s="10"/>
      <c r="B14" s="18"/>
      <c r="C14" s="12" t="s">
        <v>19</v>
      </c>
      <c r="D14" s="26">
        <f>D12/(D10*D11)</f>
        <v>1.5</v>
      </c>
      <c r="E14" s="19"/>
      <c r="F14" s="10"/>
      <c r="G14" s="18"/>
      <c r="H14" s="12" t="s">
        <v>18</v>
      </c>
      <c r="I14" s="26">
        <f>I12*I10*I11</f>
        <v>6</v>
      </c>
      <c r="J14" s="19"/>
      <c r="K14" s="10"/>
      <c r="L14" s="18"/>
      <c r="M14" s="20"/>
      <c r="N14" s="11"/>
      <c r="O14" s="19"/>
      <c r="P14" s="10"/>
    </row>
    <row r="15" spans="1:16" ht="21.6" thickBot="1" x14ac:dyDescent="0.45">
      <c r="A15" s="10"/>
      <c r="B15" s="21"/>
      <c r="C15" s="22"/>
      <c r="D15" s="22"/>
      <c r="E15" s="23"/>
      <c r="F15" s="10"/>
      <c r="G15" s="21"/>
      <c r="H15" s="22"/>
      <c r="I15" s="22"/>
      <c r="J15" s="23"/>
      <c r="K15" s="10"/>
      <c r="L15" s="18"/>
      <c r="M15" s="12" t="s">
        <v>20</v>
      </c>
      <c r="N15" s="25">
        <f>N10*N11*N13</f>
        <v>12</v>
      </c>
      <c r="O15" s="19"/>
      <c r="P15" s="10"/>
    </row>
    <row r="16" spans="1:16" ht="21.6" thickBot="1" x14ac:dyDescent="0.4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8"/>
      <c r="M16" s="12" t="s">
        <v>21</v>
      </c>
      <c r="N16" s="25">
        <f>N10*N12*N13</f>
        <v>30</v>
      </c>
      <c r="O16" s="19"/>
      <c r="P16" s="10"/>
    </row>
    <row r="17" spans="1:16" ht="42.6" thickBot="1" x14ac:dyDescent="0.45">
      <c r="A17" s="10"/>
      <c r="B17" s="28"/>
      <c r="C17" s="29"/>
      <c r="D17" s="29"/>
      <c r="E17" s="30"/>
      <c r="F17" s="10"/>
      <c r="G17" s="28"/>
      <c r="H17" s="29"/>
      <c r="I17" s="29"/>
      <c r="J17" s="30"/>
      <c r="K17" s="10"/>
      <c r="L17" s="18"/>
      <c r="M17" s="12" t="s">
        <v>22</v>
      </c>
      <c r="N17" s="13">
        <f>N15/COS(RADIANS(N18))</f>
        <v>32.310988842807021</v>
      </c>
      <c r="O17" s="19"/>
      <c r="P17" s="10"/>
    </row>
    <row r="18" spans="1:16" ht="21.6" thickBot="1" x14ac:dyDescent="0.45">
      <c r="A18" s="10"/>
      <c r="B18" s="18"/>
      <c r="C18" s="34" t="s">
        <v>25</v>
      </c>
      <c r="D18" s="35">
        <v>3</v>
      </c>
      <c r="E18" s="19"/>
      <c r="F18" s="10"/>
      <c r="G18" s="18"/>
      <c r="H18" s="34" t="s">
        <v>26</v>
      </c>
      <c r="I18" s="35">
        <v>3</v>
      </c>
      <c r="J18" s="19"/>
      <c r="K18" s="10"/>
      <c r="L18" s="18"/>
      <c r="M18" s="12" t="s">
        <v>14</v>
      </c>
      <c r="N18" s="13">
        <f>DEGREES(ATAN((N12*N10)/(N11*N10)))</f>
        <v>68.198590513648185</v>
      </c>
      <c r="O18" s="19"/>
      <c r="P18" s="10"/>
    </row>
    <row r="19" spans="1:16" ht="21.6" thickBot="1" x14ac:dyDescent="0.45">
      <c r="A19" s="10"/>
      <c r="B19" s="18"/>
      <c r="C19" s="12" t="s">
        <v>26</v>
      </c>
      <c r="D19" s="26">
        <f>D18*3.28084</f>
        <v>9.8425200000000004</v>
      </c>
      <c r="E19" s="19"/>
      <c r="F19" s="10"/>
      <c r="G19" s="18"/>
      <c r="H19" s="12" t="s">
        <v>25</v>
      </c>
      <c r="I19" s="26">
        <f>I18*0.3048</f>
        <v>0.9144000000000001</v>
      </c>
      <c r="J19" s="19"/>
      <c r="K19" s="10"/>
      <c r="L19" s="21"/>
      <c r="M19" s="22"/>
      <c r="N19" s="22"/>
      <c r="O19" s="23"/>
      <c r="P19" s="10"/>
    </row>
    <row r="20" spans="1:16" ht="15" thickBot="1" x14ac:dyDescent="0.35">
      <c r="A20" s="10"/>
      <c r="B20" s="31"/>
      <c r="C20" s="32"/>
      <c r="D20" s="32"/>
      <c r="E20" s="33"/>
      <c r="F20" s="10"/>
      <c r="G20" s="31"/>
      <c r="H20" s="32"/>
      <c r="I20" s="32"/>
      <c r="J20" s="33"/>
      <c r="K20" s="10"/>
      <c r="L20" s="10"/>
      <c r="M20" s="10"/>
      <c r="N20" s="10"/>
      <c r="O20" s="10"/>
      <c r="P20" s="10"/>
    </row>
    <row r="21" spans="1:16" x14ac:dyDescent="0.3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ShootStop</vt:lpstr>
      <vt:lpstr>LeftShootPickup</vt:lpstr>
      <vt:lpstr>RightShootPickupClimb</vt:lpstr>
      <vt:lpstr>ShootMoveHPShoot</vt:lpstr>
      <vt:lpstr>ShootHPShoot</vt:lpstr>
      <vt:lpstr>DriveStop</vt:lpstr>
      <vt:lpstr>DoNothing</vt:lpstr>
      <vt:lpstr>Calculations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Tom Harkins</dc:creator>
  <cp:keywords/>
  <dc:description/>
  <cp:lastModifiedBy>doublee7</cp:lastModifiedBy>
  <cp:revision/>
  <dcterms:created xsi:type="dcterms:W3CDTF">2024-02-17T15:23:08Z</dcterms:created>
  <dcterms:modified xsi:type="dcterms:W3CDTF">2026-03-28T17:55:28Z</dcterms:modified>
  <cp:category/>
  <cp:contentStatus/>
</cp:coreProperties>
</file>